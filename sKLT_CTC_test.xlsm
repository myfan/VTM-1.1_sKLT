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oogleDrive\CODEC\Experiments\201807_KLT\"/>
    </mc:Choice>
  </mc:AlternateContent>
  <bookViews>
    <workbookView xWindow="0" yWindow="0" windowWidth="26280" windowHeight="9885" tabRatio="884" activeTab="4"/>
  </bookViews>
  <sheets>
    <sheet name="Summary" sheetId="9" r:id="rId1"/>
    <sheet name="Plot" sheetId="10" r:id="rId2"/>
    <sheet name="AI-10" sheetId="27" r:id="rId3"/>
    <sheet name="AI-10 SIMD" sheetId="30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8"/>
  <definedNames>
    <definedName name="_xlnm._FilterDatabase" localSheetId="1" hidden="1">Plot!$A$1:$B$2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19" i="20" l="1"/>
  <c r="X120" i="20"/>
  <c r="W120" i="20"/>
  <c r="V120" i="20"/>
  <c r="X119" i="20"/>
  <c r="W119" i="20"/>
  <c r="S112" i="20" l="1"/>
  <c r="T112" i="20"/>
  <c r="R112" i="20"/>
  <c r="Q112" i="20"/>
  <c r="T90" i="20"/>
  <c r="S90" i="20"/>
  <c r="T89" i="20"/>
  <c r="S89" i="20"/>
  <c r="T88" i="20"/>
  <c r="S88" i="20"/>
  <c r="T87" i="20"/>
  <c r="S87" i="20"/>
  <c r="T86" i="20"/>
  <c r="S86" i="20"/>
  <c r="T85" i="20"/>
  <c r="S85" i="20"/>
  <c r="T84" i="20"/>
  <c r="S84" i="20"/>
  <c r="T83" i="20"/>
  <c r="S83" i="20"/>
  <c r="T82" i="20"/>
  <c r="S82" i="20"/>
  <c r="T81" i="20"/>
  <c r="S81" i="20"/>
  <c r="T80" i="20"/>
  <c r="S80" i="20"/>
  <c r="T79" i="20"/>
  <c r="S79" i="20"/>
  <c r="R90" i="20"/>
  <c r="R89" i="20"/>
  <c r="R88" i="20"/>
  <c r="R87" i="20"/>
  <c r="R86" i="20"/>
  <c r="R85" i="20"/>
  <c r="R84" i="20"/>
  <c r="R83" i="20"/>
  <c r="R82" i="20"/>
  <c r="R81" i="20"/>
  <c r="R80" i="20"/>
  <c r="R79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R92" i="30" l="1"/>
  <c r="R93" i="30"/>
  <c r="R94" i="30"/>
  <c r="R95" i="30"/>
  <c r="R96" i="30"/>
  <c r="R97" i="30"/>
  <c r="R98" i="30"/>
  <c r="R99" i="30"/>
  <c r="R100" i="30"/>
  <c r="R101" i="30"/>
  <c r="R102" i="30"/>
  <c r="R103" i="30"/>
  <c r="R104" i="30"/>
  <c r="R105" i="30"/>
  <c r="R106" i="30"/>
  <c r="R107" i="30"/>
  <c r="R108" i="30"/>
  <c r="R109" i="30"/>
  <c r="R113" i="30"/>
  <c r="R3" i="30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110" i="30" s="1"/>
  <c r="R48" i="30"/>
  <c r="R114" i="30" s="1"/>
  <c r="R49" i="30"/>
  <c r="R50" i="30"/>
  <c r="R51" i="30"/>
  <c r="R52" i="30"/>
  <c r="R53" i="30"/>
  <c r="R54" i="30"/>
  <c r="R55" i="30"/>
  <c r="R56" i="30"/>
  <c r="R57" i="30"/>
  <c r="R58" i="30"/>
  <c r="R59" i="30"/>
  <c r="R60" i="30"/>
  <c r="R61" i="30"/>
  <c r="R62" i="30"/>
  <c r="R63" i="30"/>
  <c r="R64" i="30"/>
  <c r="R111" i="30" s="1"/>
  <c r="R65" i="30"/>
  <c r="R66" i="30"/>
  <c r="R67" i="30"/>
  <c r="R68" i="30"/>
  <c r="R69" i="30"/>
  <c r="R70" i="30"/>
  <c r="R71" i="30"/>
  <c r="R72" i="30"/>
  <c r="R73" i="30"/>
  <c r="R74" i="30"/>
  <c r="R75" i="30"/>
  <c r="R76" i="30"/>
  <c r="R77" i="30"/>
  <c r="R78" i="30"/>
  <c r="R79" i="30"/>
  <c r="R112" i="30" s="1"/>
  <c r="R80" i="30"/>
  <c r="R81" i="30"/>
  <c r="R82" i="30"/>
  <c r="R83" i="30"/>
  <c r="R84" i="30"/>
  <c r="R85" i="30"/>
  <c r="R86" i="30"/>
  <c r="R87" i="30"/>
  <c r="R88" i="30"/>
  <c r="R89" i="30"/>
  <c r="R90" i="30"/>
  <c r="P91" i="30"/>
  <c r="R91" i="30"/>
  <c r="P92" i="30"/>
  <c r="P93" i="30"/>
  <c r="P94" i="30"/>
  <c r="P95" i="30"/>
  <c r="P96" i="30"/>
  <c r="P97" i="30"/>
  <c r="P98" i="30"/>
  <c r="P99" i="30"/>
  <c r="P100" i="30"/>
  <c r="P101" i="30"/>
  <c r="P102" i="30"/>
  <c r="P103" i="30"/>
  <c r="P104" i="30"/>
  <c r="P105" i="30"/>
  <c r="P106" i="30"/>
  <c r="J3" i="30"/>
  <c r="J4" i="30"/>
  <c r="J5" i="30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H91" i="30"/>
  <c r="J91" i="30"/>
  <c r="H92" i="30"/>
  <c r="J92" i="30"/>
  <c r="H93" i="30"/>
  <c r="J93" i="30"/>
  <c r="H94" i="30"/>
  <c r="J94" i="30"/>
  <c r="H95" i="30"/>
  <c r="J95" i="30"/>
  <c r="H96" i="30"/>
  <c r="J96" i="30"/>
  <c r="H97" i="30"/>
  <c r="J97" i="30"/>
  <c r="H98" i="30"/>
  <c r="J98" i="30"/>
  <c r="H99" i="30"/>
  <c r="J99" i="30"/>
  <c r="H100" i="30"/>
  <c r="J100" i="30"/>
  <c r="H101" i="30"/>
  <c r="J101" i="30"/>
  <c r="H102" i="30"/>
  <c r="J102" i="30"/>
  <c r="H103" i="30"/>
  <c r="J103" i="30"/>
  <c r="H104" i="30"/>
  <c r="J104" i="30"/>
  <c r="H105" i="30"/>
  <c r="J105" i="30"/>
  <c r="H106" i="30"/>
  <c r="J106" i="30"/>
  <c r="J115" i="30"/>
  <c r="Q91" i="30"/>
  <c r="Q92" i="30"/>
  <c r="Q93" i="30"/>
  <c r="Q94" i="30"/>
  <c r="Q95" i="30"/>
  <c r="Q96" i="30"/>
  <c r="Q97" i="30"/>
  <c r="Q98" i="30"/>
  <c r="Q99" i="30"/>
  <c r="Q100" i="30"/>
  <c r="Q101" i="30"/>
  <c r="Q102" i="30"/>
  <c r="Q103" i="30"/>
  <c r="Q104" i="30"/>
  <c r="Q105" i="30"/>
  <c r="Q106" i="30"/>
  <c r="Q115" i="30"/>
  <c r="Q116" i="30" s="1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15" i="30"/>
  <c r="T3" i="30"/>
  <c r="T4" i="30"/>
  <c r="T5" i="30"/>
  <c r="T6" i="30"/>
  <c r="T7" i="30"/>
  <c r="T8" i="30"/>
  <c r="T9" i="30"/>
  <c r="T10" i="30"/>
  <c r="T11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110" i="30" s="1"/>
  <c r="T51" i="30"/>
  <c r="T52" i="30"/>
  <c r="T53" i="30"/>
  <c r="T54" i="30"/>
  <c r="T55" i="30"/>
  <c r="T56" i="30"/>
  <c r="T57" i="30"/>
  <c r="T58" i="30"/>
  <c r="T59" i="30"/>
  <c r="T60" i="30"/>
  <c r="T61" i="30"/>
  <c r="T62" i="30"/>
  <c r="T79" i="30"/>
  <c r="T80" i="30"/>
  <c r="T81" i="30"/>
  <c r="T82" i="30"/>
  <c r="T83" i="30"/>
  <c r="T84" i="30"/>
  <c r="T85" i="30"/>
  <c r="T86" i="30"/>
  <c r="T87" i="30"/>
  <c r="T88" i="30"/>
  <c r="T89" i="30"/>
  <c r="T90" i="30"/>
  <c r="T114" i="30"/>
  <c r="S3" i="30"/>
  <c r="S4" i="30"/>
  <c r="S5" i="30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7" i="30"/>
  <c r="S58" i="30"/>
  <c r="S59" i="30"/>
  <c r="S60" i="30"/>
  <c r="S61" i="30"/>
  <c r="S62" i="30"/>
  <c r="S79" i="30"/>
  <c r="S80" i="30"/>
  <c r="S81" i="30"/>
  <c r="S82" i="30"/>
  <c r="S83" i="30"/>
  <c r="S84" i="30"/>
  <c r="S85" i="30"/>
  <c r="S86" i="30"/>
  <c r="S87" i="30"/>
  <c r="S88" i="30"/>
  <c r="S89" i="30"/>
  <c r="S90" i="30"/>
  <c r="Q114" i="30"/>
  <c r="J114" i="30"/>
  <c r="I114" i="30"/>
  <c r="D94" i="30"/>
  <c r="O91" i="30"/>
  <c r="O92" i="30"/>
  <c r="O93" i="30"/>
  <c r="D91" i="30"/>
  <c r="D92" i="30"/>
  <c r="D93" i="30"/>
  <c r="G91" i="30"/>
  <c r="G92" i="30"/>
  <c r="G93" i="30"/>
  <c r="G94" i="30"/>
  <c r="L91" i="30"/>
  <c r="L92" i="30"/>
  <c r="L93" i="30"/>
  <c r="L94" i="30"/>
  <c r="O94" i="30"/>
  <c r="N91" i="30"/>
  <c r="N92" i="30"/>
  <c r="N93" i="30"/>
  <c r="N94" i="30"/>
  <c r="F91" i="30"/>
  <c r="F92" i="30"/>
  <c r="F93" i="30"/>
  <c r="F94" i="30"/>
  <c r="M91" i="30"/>
  <c r="M92" i="30"/>
  <c r="M93" i="30"/>
  <c r="M94" i="30"/>
  <c r="E91" i="30"/>
  <c r="E92" i="30"/>
  <c r="E93" i="30"/>
  <c r="E94" i="30"/>
  <c r="T91" i="30"/>
  <c r="T113" i="30"/>
  <c r="S91" i="30"/>
  <c r="S113" i="30"/>
  <c r="Q113" i="30"/>
  <c r="J113" i="30"/>
  <c r="I113" i="30"/>
  <c r="Q112" i="30"/>
  <c r="J112" i="30"/>
  <c r="I112" i="30"/>
  <c r="T63" i="30"/>
  <c r="T64" i="30"/>
  <c r="T65" i="30"/>
  <c r="T66" i="30"/>
  <c r="T67" i="30"/>
  <c r="T68" i="30"/>
  <c r="T69" i="30"/>
  <c r="T70" i="30"/>
  <c r="T71" i="30"/>
  <c r="T72" i="30"/>
  <c r="T73" i="30"/>
  <c r="T74" i="30"/>
  <c r="T75" i="30"/>
  <c r="T76" i="30"/>
  <c r="T77" i="30"/>
  <c r="T78" i="30"/>
  <c r="S63" i="30"/>
  <c r="S64" i="30"/>
  <c r="S65" i="30"/>
  <c r="S111" i="30" s="1"/>
  <c r="S66" i="30"/>
  <c r="S67" i="30"/>
  <c r="S68" i="30"/>
  <c r="S69" i="30"/>
  <c r="S70" i="30"/>
  <c r="S71" i="30"/>
  <c r="S72" i="30"/>
  <c r="S73" i="30"/>
  <c r="S74" i="30"/>
  <c r="S75" i="30"/>
  <c r="S76" i="30"/>
  <c r="S77" i="30"/>
  <c r="S78" i="30"/>
  <c r="Q111" i="30"/>
  <c r="J111" i="30"/>
  <c r="I111" i="30"/>
  <c r="Q110" i="30"/>
  <c r="J110" i="30"/>
  <c r="I110" i="30"/>
  <c r="T109" i="30"/>
  <c r="S109" i="30"/>
  <c r="Q109" i="30"/>
  <c r="J109" i="30"/>
  <c r="I109" i="30"/>
  <c r="T108" i="30"/>
  <c r="S108" i="30"/>
  <c r="Q108" i="30"/>
  <c r="J108" i="30"/>
  <c r="I108" i="30"/>
  <c r="T107" i="30"/>
  <c r="S107" i="30"/>
  <c r="Q107" i="30"/>
  <c r="J107" i="30"/>
  <c r="I107" i="30"/>
  <c r="T106" i="30"/>
  <c r="S106" i="30"/>
  <c r="O106" i="30"/>
  <c r="N106" i="30"/>
  <c r="M106" i="30"/>
  <c r="L106" i="30"/>
  <c r="G106" i="30"/>
  <c r="F106" i="30"/>
  <c r="E106" i="30"/>
  <c r="D106" i="30"/>
  <c r="T105" i="30"/>
  <c r="S105" i="30"/>
  <c r="O105" i="30"/>
  <c r="N105" i="30"/>
  <c r="M105" i="30"/>
  <c r="L105" i="30"/>
  <c r="G105" i="30"/>
  <c r="F105" i="30"/>
  <c r="E105" i="30"/>
  <c r="D105" i="30"/>
  <c r="T104" i="30"/>
  <c r="S104" i="30"/>
  <c r="O104" i="30"/>
  <c r="N104" i="30"/>
  <c r="M104" i="30"/>
  <c r="L104" i="30"/>
  <c r="G104" i="30"/>
  <c r="F104" i="30"/>
  <c r="E104" i="30"/>
  <c r="D104" i="30"/>
  <c r="O103" i="30"/>
  <c r="G103" i="30"/>
  <c r="N103" i="30"/>
  <c r="F103" i="30"/>
  <c r="M103" i="30"/>
  <c r="E103" i="30"/>
  <c r="T103" i="30"/>
  <c r="S103" i="30"/>
  <c r="L103" i="30"/>
  <c r="D103" i="30"/>
  <c r="T102" i="30"/>
  <c r="S102" i="30"/>
  <c r="O102" i="30"/>
  <c r="N102" i="30"/>
  <c r="M102" i="30"/>
  <c r="L102" i="30"/>
  <c r="G102" i="30"/>
  <c r="F102" i="30"/>
  <c r="E102" i="30"/>
  <c r="D102" i="30"/>
  <c r="T101" i="30"/>
  <c r="S101" i="30"/>
  <c r="O101" i="30"/>
  <c r="N101" i="30"/>
  <c r="M101" i="30"/>
  <c r="L101" i="30"/>
  <c r="G101" i="30"/>
  <c r="F101" i="30"/>
  <c r="E101" i="30"/>
  <c r="D101" i="30"/>
  <c r="T100" i="30"/>
  <c r="S100" i="30"/>
  <c r="O100" i="30"/>
  <c r="N100" i="30"/>
  <c r="M100" i="30"/>
  <c r="L100" i="30"/>
  <c r="G100" i="30"/>
  <c r="F100" i="30"/>
  <c r="E100" i="30"/>
  <c r="D100" i="30"/>
  <c r="O99" i="30"/>
  <c r="G99" i="30"/>
  <c r="N99" i="30"/>
  <c r="F99" i="30"/>
  <c r="M99" i="30"/>
  <c r="E99" i="30"/>
  <c r="T99" i="30"/>
  <c r="S99" i="30"/>
  <c r="L99" i="30"/>
  <c r="D99" i="30"/>
  <c r="T98" i="30"/>
  <c r="S98" i="30"/>
  <c r="O98" i="30"/>
  <c r="N98" i="30"/>
  <c r="M98" i="30"/>
  <c r="L98" i="30"/>
  <c r="G98" i="30"/>
  <c r="F98" i="30"/>
  <c r="E98" i="30"/>
  <c r="D98" i="30"/>
  <c r="T97" i="30"/>
  <c r="S97" i="30"/>
  <c r="O97" i="30"/>
  <c r="N97" i="30"/>
  <c r="M97" i="30"/>
  <c r="L97" i="30"/>
  <c r="G97" i="30"/>
  <c r="F97" i="30"/>
  <c r="E97" i="30"/>
  <c r="D97" i="30"/>
  <c r="T96" i="30"/>
  <c r="S96" i="30"/>
  <c r="O96" i="30"/>
  <c r="N96" i="30"/>
  <c r="M96" i="30"/>
  <c r="L96" i="30"/>
  <c r="G96" i="30"/>
  <c r="F96" i="30"/>
  <c r="E96" i="30"/>
  <c r="D96" i="30"/>
  <c r="O95" i="30"/>
  <c r="G95" i="30"/>
  <c r="N95" i="30"/>
  <c r="F95" i="30"/>
  <c r="M95" i="30"/>
  <c r="E95" i="30"/>
  <c r="T95" i="30"/>
  <c r="S95" i="30"/>
  <c r="L95" i="30"/>
  <c r="D95" i="30"/>
  <c r="T94" i="30"/>
  <c r="S94" i="30"/>
  <c r="T93" i="30"/>
  <c r="S93" i="30"/>
  <c r="T92" i="30"/>
  <c r="S92" i="30"/>
  <c r="C66" i="30"/>
  <c r="C65" i="30"/>
  <c r="C64" i="30"/>
  <c r="C63" i="30"/>
  <c r="L91" i="27"/>
  <c r="M91" i="27"/>
  <c r="N91" i="27"/>
  <c r="O91" i="27"/>
  <c r="P91" i="27"/>
  <c r="L92" i="27"/>
  <c r="M92" i="27"/>
  <c r="N92" i="27"/>
  <c r="O92" i="27"/>
  <c r="P92" i="27"/>
  <c r="L93" i="27"/>
  <c r="M93" i="27"/>
  <c r="N93" i="27"/>
  <c r="O93" i="27"/>
  <c r="P93" i="27"/>
  <c r="L94" i="27"/>
  <c r="M94" i="27"/>
  <c r="N94" i="27"/>
  <c r="O94" i="27"/>
  <c r="P94" i="27"/>
  <c r="L95" i="27"/>
  <c r="M95" i="27"/>
  <c r="N95" i="27"/>
  <c r="O95" i="27"/>
  <c r="P95" i="27"/>
  <c r="L96" i="27"/>
  <c r="M96" i="27"/>
  <c r="N96" i="27"/>
  <c r="O96" i="27"/>
  <c r="P96" i="27"/>
  <c r="L97" i="27"/>
  <c r="M97" i="27"/>
  <c r="N97" i="27"/>
  <c r="O97" i="27"/>
  <c r="P97" i="27"/>
  <c r="L98" i="27"/>
  <c r="M98" i="27"/>
  <c r="N98" i="27"/>
  <c r="O98" i="27"/>
  <c r="P98" i="27"/>
  <c r="L99" i="27"/>
  <c r="M99" i="27"/>
  <c r="N99" i="27"/>
  <c r="O99" i="27"/>
  <c r="P99" i="27"/>
  <c r="L100" i="27"/>
  <c r="M100" i="27"/>
  <c r="N100" i="27"/>
  <c r="O100" i="27"/>
  <c r="P100" i="27"/>
  <c r="L101" i="27"/>
  <c r="M101" i="27"/>
  <c r="N101" i="27"/>
  <c r="O101" i="27"/>
  <c r="P101" i="27"/>
  <c r="L102" i="27"/>
  <c r="M102" i="27"/>
  <c r="N102" i="27"/>
  <c r="O102" i="27"/>
  <c r="P102" i="27"/>
  <c r="L103" i="27"/>
  <c r="M103" i="27"/>
  <c r="N103" i="27"/>
  <c r="O103" i="27"/>
  <c r="P103" i="27"/>
  <c r="L104" i="27"/>
  <c r="M104" i="27"/>
  <c r="N104" i="27"/>
  <c r="O104" i="27"/>
  <c r="P104" i="27"/>
  <c r="L105" i="27"/>
  <c r="M105" i="27"/>
  <c r="N105" i="27"/>
  <c r="O105" i="27"/>
  <c r="P105" i="27"/>
  <c r="L106" i="27"/>
  <c r="M106" i="27"/>
  <c r="N106" i="27"/>
  <c r="O106" i="27"/>
  <c r="P106" i="27"/>
  <c r="B47" i="9"/>
  <c r="B35" i="9"/>
  <c r="B23" i="9"/>
  <c r="L27" i="29"/>
  <c r="M27" i="29"/>
  <c r="N27" i="29"/>
  <c r="O27" i="29"/>
  <c r="P27" i="29"/>
  <c r="Q27" i="29"/>
  <c r="L28" i="29"/>
  <c r="M28" i="29"/>
  <c r="N28" i="29"/>
  <c r="O28" i="29"/>
  <c r="P28" i="29"/>
  <c r="R28" i="29"/>
  <c r="Q28" i="29"/>
  <c r="L29" i="29"/>
  <c r="M29" i="29"/>
  <c r="N29" i="29"/>
  <c r="O29" i="29"/>
  <c r="P29" i="29"/>
  <c r="R29" i="29"/>
  <c r="Q29" i="29"/>
  <c r="L30" i="29"/>
  <c r="M30" i="29"/>
  <c r="N30" i="29"/>
  <c r="O30" i="29"/>
  <c r="P30" i="29"/>
  <c r="R30" i="29"/>
  <c r="Q30" i="29"/>
  <c r="L31" i="29"/>
  <c r="M31" i="29"/>
  <c r="N31" i="29"/>
  <c r="O31" i="29"/>
  <c r="P31" i="29"/>
  <c r="R31" i="29"/>
  <c r="Q31" i="29"/>
  <c r="L32" i="29"/>
  <c r="M32" i="29"/>
  <c r="N32" i="29"/>
  <c r="O32" i="29"/>
  <c r="P32" i="29"/>
  <c r="R32" i="29"/>
  <c r="Q32" i="29"/>
  <c r="L33" i="29"/>
  <c r="M33" i="29"/>
  <c r="N33" i="29"/>
  <c r="O33" i="29"/>
  <c r="P33" i="29"/>
  <c r="Q33" i="29"/>
  <c r="L34" i="29"/>
  <c r="M34" i="29"/>
  <c r="N34" i="29"/>
  <c r="O34" i="29"/>
  <c r="P34" i="29"/>
  <c r="R34" i="29"/>
  <c r="Q34" i="29"/>
  <c r="L35" i="29"/>
  <c r="M35" i="29"/>
  <c r="N35" i="29"/>
  <c r="O35" i="29"/>
  <c r="P35" i="29"/>
  <c r="R35" i="29"/>
  <c r="Q35" i="29"/>
  <c r="L36" i="29"/>
  <c r="M36" i="29"/>
  <c r="N36" i="29"/>
  <c r="O36" i="29"/>
  <c r="P36" i="29"/>
  <c r="R36" i="29"/>
  <c r="Q36" i="29"/>
  <c r="L37" i="29"/>
  <c r="M37" i="29"/>
  <c r="N37" i="29"/>
  <c r="O37" i="29"/>
  <c r="P37" i="29"/>
  <c r="Q37" i="29"/>
  <c r="L38" i="29"/>
  <c r="M38" i="29"/>
  <c r="N38" i="29"/>
  <c r="O38" i="29"/>
  <c r="P38" i="29"/>
  <c r="R38" i="29"/>
  <c r="Q38" i="29"/>
  <c r="L39" i="29"/>
  <c r="M39" i="29"/>
  <c r="N39" i="29"/>
  <c r="O39" i="29"/>
  <c r="P39" i="29"/>
  <c r="H39" i="29"/>
  <c r="S39" i="29"/>
  <c r="Q39" i="29"/>
  <c r="L40" i="29"/>
  <c r="M40" i="29"/>
  <c r="N40" i="29"/>
  <c r="O40" i="29"/>
  <c r="P40" i="29"/>
  <c r="R40" i="29"/>
  <c r="Q40" i="29"/>
  <c r="L41" i="29"/>
  <c r="M41" i="29"/>
  <c r="N41" i="29"/>
  <c r="O41" i="29"/>
  <c r="P41" i="29"/>
  <c r="R41" i="29"/>
  <c r="Q41" i="29"/>
  <c r="L42" i="29"/>
  <c r="M42" i="29"/>
  <c r="N42" i="29"/>
  <c r="O42" i="29"/>
  <c r="P42" i="29"/>
  <c r="R42" i="29"/>
  <c r="Q42" i="29"/>
  <c r="L43" i="29"/>
  <c r="M43" i="29"/>
  <c r="N43" i="29"/>
  <c r="O43" i="29"/>
  <c r="P43" i="29"/>
  <c r="Q43" i="29"/>
  <c r="L44" i="29"/>
  <c r="M44" i="29"/>
  <c r="N44" i="29"/>
  <c r="O44" i="29"/>
  <c r="P44" i="29"/>
  <c r="R44" i="29"/>
  <c r="Q44" i="29"/>
  <c r="L45" i="29"/>
  <c r="M45" i="29"/>
  <c r="N45" i="29"/>
  <c r="O45" i="29"/>
  <c r="P45" i="29"/>
  <c r="R45" i="29"/>
  <c r="Q45" i="29"/>
  <c r="L46" i="29"/>
  <c r="M46" i="29"/>
  <c r="N46" i="29"/>
  <c r="O46" i="29"/>
  <c r="P46" i="29"/>
  <c r="Q46" i="29"/>
  <c r="L47" i="29"/>
  <c r="M47" i="29"/>
  <c r="N47" i="29"/>
  <c r="O47" i="29"/>
  <c r="P47" i="29"/>
  <c r="Q47" i="29"/>
  <c r="L48" i="29"/>
  <c r="M48" i="29"/>
  <c r="N48" i="29"/>
  <c r="O48" i="29"/>
  <c r="P48" i="29"/>
  <c r="Q48" i="29"/>
  <c r="L49" i="29"/>
  <c r="M49" i="29"/>
  <c r="N49" i="29"/>
  <c r="O49" i="29"/>
  <c r="P49" i="29"/>
  <c r="R49" i="29"/>
  <c r="Q49" i="29"/>
  <c r="L50" i="29"/>
  <c r="M50" i="29"/>
  <c r="N50" i="29"/>
  <c r="O50" i="29"/>
  <c r="P50" i="29"/>
  <c r="Q50" i="29"/>
  <c r="L51" i="29"/>
  <c r="M51" i="29"/>
  <c r="N51" i="29"/>
  <c r="O51" i="29"/>
  <c r="P51" i="29"/>
  <c r="R51" i="29"/>
  <c r="Q51" i="29"/>
  <c r="L52" i="29"/>
  <c r="M52" i="29"/>
  <c r="N52" i="29"/>
  <c r="O52" i="29"/>
  <c r="P52" i="29"/>
  <c r="Q52" i="29"/>
  <c r="L53" i="29"/>
  <c r="M53" i="29"/>
  <c r="N53" i="29"/>
  <c r="O53" i="29"/>
  <c r="P53" i="29"/>
  <c r="Q53" i="29"/>
  <c r="L54" i="29"/>
  <c r="M54" i="29"/>
  <c r="N54" i="29"/>
  <c r="O54" i="29"/>
  <c r="P54" i="29"/>
  <c r="Q54" i="29"/>
  <c r="L55" i="29"/>
  <c r="M55" i="29"/>
  <c r="N55" i="29"/>
  <c r="O55" i="29"/>
  <c r="P55" i="29"/>
  <c r="R55" i="29"/>
  <c r="Q55" i="29"/>
  <c r="L56" i="29"/>
  <c r="M56" i="29"/>
  <c r="N56" i="29"/>
  <c r="O56" i="29"/>
  <c r="P56" i="29"/>
  <c r="R56" i="29"/>
  <c r="Q56" i="29"/>
  <c r="L57" i="29"/>
  <c r="M57" i="29"/>
  <c r="N57" i="29"/>
  <c r="O57" i="29"/>
  <c r="P57" i="29"/>
  <c r="Q57" i="29"/>
  <c r="L58" i="29"/>
  <c r="M58" i="29"/>
  <c r="N58" i="29"/>
  <c r="O58" i="29"/>
  <c r="P58" i="29"/>
  <c r="Q58" i="29"/>
  <c r="L59" i="29"/>
  <c r="M59" i="29"/>
  <c r="N59" i="29"/>
  <c r="O59" i="29"/>
  <c r="P59" i="29"/>
  <c r="R59" i="29"/>
  <c r="Q59" i="29"/>
  <c r="L60" i="29"/>
  <c r="M60" i="29"/>
  <c r="N60" i="29"/>
  <c r="O60" i="29"/>
  <c r="P60" i="29"/>
  <c r="Q60" i="29"/>
  <c r="L61" i="29"/>
  <c r="M61" i="29"/>
  <c r="N61" i="29"/>
  <c r="O61" i="29"/>
  <c r="P61" i="29"/>
  <c r="R61" i="29"/>
  <c r="Q61" i="29"/>
  <c r="L62" i="29"/>
  <c r="M62" i="29"/>
  <c r="N62" i="29"/>
  <c r="O62" i="29"/>
  <c r="P62" i="29"/>
  <c r="Q62" i="29"/>
  <c r="L63" i="29"/>
  <c r="M63" i="29"/>
  <c r="N63" i="29"/>
  <c r="O63" i="29"/>
  <c r="P63" i="29"/>
  <c r="Q63" i="29"/>
  <c r="L64" i="29"/>
  <c r="M64" i="29"/>
  <c r="N64" i="29"/>
  <c r="O64" i="29"/>
  <c r="P64" i="29"/>
  <c r="Q64" i="29"/>
  <c r="L65" i="29"/>
  <c r="M65" i="29"/>
  <c r="N65" i="29"/>
  <c r="O65" i="29"/>
  <c r="P65" i="29"/>
  <c r="R65" i="29"/>
  <c r="Q65" i="29"/>
  <c r="L66" i="29"/>
  <c r="M66" i="29"/>
  <c r="N66" i="29"/>
  <c r="O66" i="29"/>
  <c r="P66" i="29"/>
  <c r="Q66" i="29"/>
  <c r="L67" i="29"/>
  <c r="M67" i="29"/>
  <c r="N67" i="29"/>
  <c r="O67" i="29"/>
  <c r="P67" i="29"/>
  <c r="R67" i="29"/>
  <c r="Q67" i="29"/>
  <c r="L68" i="29"/>
  <c r="M68" i="29"/>
  <c r="N68" i="29"/>
  <c r="O68" i="29"/>
  <c r="P68" i="29"/>
  <c r="Q68" i="29"/>
  <c r="L69" i="29"/>
  <c r="M69" i="29"/>
  <c r="N69" i="29"/>
  <c r="O69" i="29"/>
  <c r="P69" i="29"/>
  <c r="R69" i="29"/>
  <c r="Q69" i="29"/>
  <c r="L70" i="29"/>
  <c r="M70" i="29"/>
  <c r="N70" i="29"/>
  <c r="O70" i="29"/>
  <c r="P70" i="29"/>
  <c r="Q70" i="29"/>
  <c r="L71" i="29"/>
  <c r="M71" i="29"/>
  <c r="N71" i="29"/>
  <c r="O71" i="29"/>
  <c r="P71" i="29"/>
  <c r="R71" i="29"/>
  <c r="Q71" i="29"/>
  <c r="L72" i="29"/>
  <c r="M72" i="29"/>
  <c r="N72" i="29"/>
  <c r="O72" i="29"/>
  <c r="P72" i="29"/>
  <c r="Q72" i="29"/>
  <c r="L73" i="29"/>
  <c r="M73" i="29"/>
  <c r="N73" i="29"/>
  <c r="O73" i="29"/>
  <c r="P73" i="29"/>
  <c r="R73" i="29"/>
  <c r="Q73" i="29"/>
  <c r="L74" i="29"/>
  <c r="M74" i="29"/>
  <c r="N74" i="29"/>
  <c r="O74" i="29"/>
  <c r="P74" i="29"/>
  <c r="Q74" i="29"/>
  <c r="L75" i="29"/>
  <c r="M75" i="29"/>
  <c r="N75" i="29"/>
  <c r="O75" i="29"/>
  <c r="P75" i="29"/>
  <c r="Q75" i="29"/>
  <c r="L76" i="29"/>
  <c r="M76" i="29"/>
  <c r="N76" i="29"/>
  <c r="O76" i="29"/>
  <c r="P76" i="29"/>
  <c r="Q76" i="29"/>
  <c r="L77" i="29"/>
  <c r="M77" i="29"/>
  <c r="N77" i="29"/>
  <c r="O77" i="29"/>
  <c r="P77" i="29"/>
  <c r="R77" i="29"/>
  <c r="Q77" i="29"/>
  <c r="L78" i="29"/>
  <c r="M78" i="29"/>
  <c r="N78" i="29"/>
  <c r="O78" i="29"/>
  <c r="P78" i="29"/>
  <c r="R78" i="29"/>
  <c r="Q78" i="29"/>
  <c r="L79" i="29"/>
  <c r="M79" i="29"/>
  <c r="N79" i="29"/>
  <c r="O79" i="29"/>
  <c r="P79" i="29"/>
  <c r="R79" i="29"/>
  <c r="Q79" i="29"/>
  <c r="L80" i="29"/>
  <c r="M80" i="29"/>
  <c r="N80" i="29"/>
  <c r="O80" i="29"/>
  <c r="P80" i="29"/>
  <c r="R80" i="29"/>
  <c r="Q80" i="29"/>
  <c r="L81" i="29"/>
  <c r="M81" i="29"/>
  <c r="N81" i="29"/>
  <c r="O81" i="29"/>
  <c r="P81" i="29"/>
  <c r="R81" i="29"/>
  <c r="Q81" i="29"/>
  <c r="L82" i="29"/>
  <c r="M82" i="29"/>
  <c r="N82" i="29"/>
  <c r="O82" i="29"/>
  <c r="P82" i="29"/>
  <c r="Q82" i="29"/>
  <c r="L83" i="29"/>
  <c r="M83" i="29"/>
  <c r="N83" i="29"/>
  <c r="O83" i="29"/>
  <c r="P83" i="29"/>
  <c r="Q83" i="29"/>
  <c r="L84" i="29"/>
  <c r="M84" i="29"/>
  <c r="N84" i="29"/>
  <c r="O84" i="29"/>
  <c r="P84" i="29"/>
  <c r="Q84" i="29"/>
  <c r="L85" i="29"/>
  <c r="M85" i="29"/>
  <c r="N85" i="29"/>
  <c r="O85" i="29"/>
  <c r="P85" i="29"/>
  <c r="R85" i="29"/>
  <c r="Q85" i="29"/>
  <c r="L86" i="29"/>
  <c r="M86" i="29"/>
  <c r="N86" i="29"/>
  <c r="O86" i="29"/>
  <c r="P86" i="29"/>
  <c r="Q86" i="29"/>
  <c r="L87" i="29"/>
  <c r="M87" i="29"/>
  <c r="N87" i="29"/>
  <c r="O87" i="29"/>
  <c r="P87" i="29"/>
  <c r="Q87" i="29"/>
  <c r="L88" i="29"/>
  <c r="M88" i="29"/>
  <c r="N88" i="29"/>
  <c r="O88" i="29"/>
  <c r="P88" i="29"/>
  <c r="R88" i="29"/>
  <c r="Q88" i="29"/>
  <c r="I88" i="29"/>
  <c r="T88" i="29"/>
  <c r="L89" i="29"/>
  <c r="M89" i="29"/>
  <c r="N89" i="29"/>
  <c r="O89" i="29"/>
  <c r="P89" i="29"/>
  <c r="R89" i="29"/>
  <c r="Q89" i="29"/>
  <c r="L90" i="29"/>
  <c r="M90" i="29"/>
  <c r="N90" i="29"/>
  <c r="O90" i="29"/>
  <c r="P90" i="29"/>
  <c r="Q90" i="29"/>
  <c r="L91" i="29"/>
  <c r="M91" i="29"/>
  <c r="N91" i="29"/>
  <c r="O91" i="29"/>
  <c r="P91" i="29"/>
  <c r="R91" i="29"/>
  <c r="Q91" i="29"/>
  <c r="L92" i="29"/>
  <c r="M92" i="29"/>
  <c r="N92" i="29"/>
  <c r="O92" i="29"/>
  <c r="P92" i="29"/>
  <c r="Q92" i="29"/>
  <c r="L93" i="29"/>
  <c r="M93" i="29"/>
  <c r="N93" i="29"/>
  <c r="O93" i="29"/>
  <c r="P93" i="29"/>
  <c r="Q93" i="29"/>
  <c r="L94" i="29"/>
  <c r="M94" i="29"/>
  <c r="N94" i="29"/>
  <c r="O94" i="29"/>
  <c r="P94" i="29"/>
  <c r="Q94" i="29"/>
  <c r="L95" i="29"/>
  <c r="M95" i="29"/>
  <c r="N95" i="29"/>
  <c r="O95" i="29"/>
  <c r="P95" i="29"/>
  <c r="R95" i="29"/>
  <c r="Q95" i="29"/>
  <c r="L96" i="29"/>
  <c r="M96" i="29"/>
  <c r="N96" i="29"/>
  <c r="O96" i="29"/>
  <c r="P96" i="29"/>
  <c r="Q96" i="29"/>
  <c r="L97" i="29"/>
  <c r="M97" i="29"/>
  <c r="N97" i="29"/>
  <c r="O97" i="29"/>
  <c r="P97" i="29"/>
  <c r="Q97" i="29"/>
  <c r="L98" i="29"/>
  <c r="M98" i="29"/>
  <c r="N98" i="29"/>
  <c r="O98" i="29"/>
  <c r="P98" i="29"/>
  <c r="R98" i="29"/>
  <c r="Q98" i="29"/>
  <c r="L99" i="29"/>
  <c r="M99" i="29"/>
  <c r="N99" i="29"/>
  <c r="O99" i="29"/>
  <c r="P99" i="29"/>
  <c r="R99" i="29"/>
  <c r="Q99" i="29"/>
  <c r="L100" i="29"/>
  <c r="M100" i="29"/>
  <c r="N100" i="29"/>
  <c r="O100" i="29"/>
  <c r="P100" i="29"/>
  <c r="Q100" i="29"/>
  <c r="L101" i="29"/>
  <c r="M101" i="29"/>
  <c r="N101" i="29"/>
  <c r="O101" i="29"/>
  <c r="P101" i="29"/>
  <c r="R101" i="29"/>
  <c r="Q101" i="29"/>
  <c r="L102" i="29"/>
  <c r="M102" i="29"/>
  <c r="N102" i="29"/>
  <c r="O102" i="29"/>
  <c r="P102" i="29"/>
  <c r="R102" i="29"/>
  <c r="Q102" i="29"/>
  <c r="L103" i="29"/>
  <c r="M103" i="29"/>
  <c r="N103" i="29"/>
  <c r="O103" i="29"/>
  <c r="P103" i="29"/>
  <c r="R103" i="29"/>
  <c r="Q103" i="29"/>
  <c r="L104" i="29"/>
  <c r="M104" i="29"/>
  <c r="N104" i="29"/>
  <c r="O104" i="29"/>
  <c r="P104" i="29"/>
  <c r="R104" i="29"/>
  <c r="Q104" i="29"/>
  <c r="L105" i="29"/>
  <c r="M105" i="29"/>
  <c r="N105" i="29"/>
  <c r="O105" i="29"/>
  <c r="P105" i="29"/>
  <c r="R105" i="29"/>
  <c r="Q105" i="29"/>
  <c r="L106" i="29"/>
  <c r="M106" i="29"/>
  <c r="N106" i="29"/>
  <c r="O106" i="29"/>
  <c r="P106" i="29"/>
  <c r="R106" i="29"/>
  <c r="Q106" i="29"/>
  <c r="L27" i="25"/>
  <c r="M27" i="25"/>
  <c r="N27" i="25"/>
  <c r="O27" i="25"/>
  <c r="P27" i="25"/>
  <c r="Q27" i="25"/>
  <c r="L28" i="25"/>
  <c r="M28" i="25"/>
  <c r="N28" i="25"/>
  <c r="O28" i="25"/>
  <c r="P28" i="25"/>
  <c r="R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R32" i="25"/>
  <c r="Q32" i="25"/>
  <c r="L33" i="25"/>
  <c r="M33" i="25"/>
  <c r="N33" i="25"/>
  <c r="O33" i="25"/>
  <c r="P33" i="25"/>
  <c r="R33" i="25"/>
  <c r="Q33" i="25"/>
  <c r="L34" i="25"/>
  <c r="M34" i="25"/>
  <c r="N34" i="25"/>
  <c r="O34" i="25"/>
  <c r="P34" i="25"/>
  <c r="R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R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R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R40" i="25"/>
  <c r="Q40" i="25"/>
  <c r="L41" i="25"/>
  <c r="M41" i="25"/>
  <c r="N41" i="25"/>
  <c r="O41" i="25"/>
  <c r="P41" i="25"/>
  <c r="R41" i="25"/>
  <c r="Q41" i="25"/>
  <c r="L42" i="25"/>
  <c r="M42" i="25"/>
  <c r="N42" i="25"/>
  <c r="O42" i="25"/>
  <c r="P42" i="25"/>
  <c r="R42" i="25"/>
  <c r="Q42" i="25"/>
  <c r="L43" i="25"/>
  <c r="M43" i="25"/>
  <c r="N43" i="25"/>
  <c r="O43" i="25"/>
  <c r="P43" i="25"/>
  <c r="R43" i="25"/>
  <c r="Q43" i="25"/>
  <c r="L44" i="25"/>
  <c r="M44" i="25"/>
  <c r="N44" i="25"/>
  <c r="O44" i="25"/>
  <c r="P44" i="25"/>
  <c r="R44" i="25"/>
  <c r="Q44" i="25"/>
  <c r="L45" i="25"/>
  <c r="M45" i="25"/>
  <c r="N45" i="25"/>
  <c r="O45" i="25"/>
  <c r="P45" i="25"/>
  <c r="R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R48" i="25"/>
  <c r="Q48" i="25"/>
  <c r="L49" i="25"/>
  <c r="M49" i="25"/>
  <c r="N49" i="25"/>
  <c r="O49" i="25"/>
  <c r="P49" i="25"/>
  <c r="R49" i="25"/>
  <c r="Q49" i="25"/>
  <c r="L50" i="25"/>
  <c r="M50" i="25"/>
  <c r="N50" i="25"/>
  <c r="O50" i="25"/>
  <c r="P50" i="25"/>
  <c r="R50" i="25"/>
  <c r="Q50" i="25"/>
  <c r="L51" i="25"/>
  <c r="M51" i="25"/>
  <c r="N51" i="25"/>
  <c r="O51" i="25"/>
  <c r="P51" i="25"/>
  <c r="R51" i="25"/>
  <c r="Q51" i="25"/>
  <c r="L52" i="25"/>
  <c r="M52" i="25"/>
  <c r="N52" i="25"/>
  <c r="O52" i="25"/>
  <c r="P52" i="25"/>
  <c r="R52" i="25"/>
  <c r="Q52" i="25"/>
  <c r="L53" i="25"/>
  <c r="M53" i="25"/>
  <c r="N53" i="25"/>
  <c r="O53" i="25"/>
  <c r="P53" i="25"/>
  <c r="Q53" i="25"/>
  <c r="L54" i="25"/>
  <c r="M54" i="25"/>
  <c r="N54" i="25"/>
  <c r="O54" i="25"/>
  <c r="P54" i="25"/>
  <c r="R54" i="25"/>
  <c r="Q54" i="25"/>
  <c r="L55" i="25"/>
  <c r="M55" i="25"/>
  <c r="N55" i="25"/>
  <c r="O55" i="25"/>
  <c r="P55" i="25"/>
  <c r="Q55" i="25"/>
  <c r="L56" i="25"/>
  <c r="M56" i="25"/>
  <c r="N56" i="25"/>
  <c r="O56" i="25"/>
  <c r="P56" i="25"/>
  <c r="R56" i="25"/>
  <c r="Q56" i="25"/>
  <c r="L57" i="25"/>
  <c r="M57" i="25"/>
  <c r="N57" i="25"/>
  <c r="O57" i="25"/>
  <c r="P57" i="25"/>
  <c r="Q57" i="25"/>
  <c r="L58" i="25"/>
  <c r="M58" i="25"/>
  <c r="N58" i="25"/>
  <c r="O58" i="25"/>
  <c r="P58" i="25"/>
  <c r="R58" i="25"/>
  <c r="Q58" i="25"/>
  <c r="L59" i="25"/>
  <c r="M59" i="25"/>
  <c r="N59" i="25"/>
  <c r="O59" i="25"/>
  <c r="P59" i="25"/>
  <c r="R59" i="25"/>
  <c r="Q59" i="25"/>
  <c r="L60" i="25"/>
  <c r="M60" i="25"/>
  <c r="N60" i="25"/>
  <c r="O60" i="25"/>
  <c r="P60" i="25"/>
  <c r="R60" i="25"/>
  <c r="Q60" i="25"/>
  <c r="L61" i="25"/>
  <c r="M61" i="25"/>
  <c r="N61" i="25"/>
  <c r="O61" i="25"/>
  <c r="P61" i="25"/>
  <c r="R61" i="25"/>
  <c r="Q61" i="25"/>
  <c r="L62" i="25"/>
  <c r="M62" i="25"/>
  <c r="N62" i="25"/>
  <c r="O62" i="25"/>
  <c r="P62" i="25"/>
  <c r="R62" i="25"/>
  <c r="Q62" i="25"/>
  <c r="L63" i="25"/>
  <c r="M63" i="25"/>
  <c r="N63" i="25"/>
  <c r="O63" i="25"/>
  <c r="P63" i="25"/>
  <c r="Q63" i="25"/>
  <c r="L64" i="25"/>
  <c r="M64" i="25"/>
  <c r="N64" i="25"/>
  <c r="O64" i="25"/>
  <c r="P64" i="25"/>
  <c r="R64" i="25"/>
  <c r="Q64" i="25"/>
  <c r="L65" i="25"/>
  <c r="M65" i="25"/>
  <c r="N65" i="25"/>
  <c r="O65" i="25"/>
  <c r="P65" i="25"/>
  <c r="R65" i="25"/>
  <c r="Q65" i="25"/>
  <c r="L66" i="25"/>
  <c r="M66" i="25"/>
  <c r="N66" i="25"/>
  <c r="O66" i="25"/>
  <c r="P66" i="25"/>
  <c r="R66" i="25"/>
  <c r="Q66" i="25"/>
  <c r="L67" i="25"/>
  <c r="M67" i="25"/>
  <c r="N67" i="25"/>
  <c r="O67" i="25"/>
  <c r="P67" i="25"/>
  <c r="Q67" i="25"/>
  <c r="L68" i="25"/>
  <c r="M68" i="25"/>
  <c r="N68" i="25"/>
  <c r="O68" i="25"/>
  <c r="P68" i="25"/>
  <c r="R68" i="25"/>
  <c r="Q68" i="25"/>
  <c r="L69" i="25"/>
  <c r="M69" i="25"/>
  <c r="N69" i="25"/>
  <c r="O69" i="25"/>
  <c r="P69" i="25"/>
  <c r="R69" i="25"/>
  <c r="Q69" i="25"/>
  <c r="L70" i="25"/>
  <c r="M70" i="25"/>
  <c r="N70" i="25"/>
  <c r="O70" i="25"/>
  <c r="P70" i="25"/>
  <c r="R70" i="25"/>
  <c r="Q70" i="25"/>
  <c r="L71" i="25"/>
  <c r="M71" i="25"/>
  <c r="N71" i="25"/>
  <c r="O71" i="25"/>
  <c r="P71" i="25"/>
  <c r="R71" i="25"/>
  <c r="Q71" i="25"/>
  <c r="L72" i="25"/>
  <c r="M72" i="25"/>
  <c r="N72" i="25"/>
  <c r="O72" i="25"/>
  <c r="P72" i="25"/>
  <c r="R72" i="25"/>
  <c r="Q72" i="25"/>
  <c r="L73" i="25"/>
  <c r="M73" i="25"/>
  <c r="N73" i="25"/>
  <c r="O73" i="25"/>
  <c r="P73" i="25"/>
  <c r="Q73" i="25"/>
  <c r="L74" i="25"/>
  <c r="M74" i="25"/>
  <c r="N74" i="25"/>
  <c r="O74" i="25"/>
  <c r="P74" i="25"/>
  <c r="R74" i="25"/>
  <c r="Q74" i="25"/>
  <c r="L75" i="25"/>
  <c r="M75" i="25"/>
  <c r="N75" i="25"/>
  <c r="O75" i="25"/>
  <c r="P75" i="25"/>
  <c r="R75" i="25"/>
  <c r="Q75" i="25"/>
  <c r="L76" i="25"/>
  <c r="M76" i="25"/>
  <c r="N76" i="25"/>
  <c r="O76" i="25"/>
  <c r="P76" i="25"/>
  <c r="R76" i="25"/>
  <c r="Q76" i="25"/>
  <c r="L77" i="25"/>
  <c r="M77" i="25"/>
  <c r="N77" i="25"/>
  <c r="O77" i="25"/>
  <c r="P77" i="25"/>
  <c r="Q77" i="25"/>
  <c r="L78" i="25"/>
  <c r="M78" i="25"/>
  <c r="N78" i="25"/>
  <c r="O78" i="25"/>
  <c r="P78" i="25"/>
  <c r="R78" i="25"/>
  <c r="Q78" i="25"/>
  <c r="L79" i="25"/>
  <c r="M79" i="25"/>
  <c r="N79" i="25"/>
  <c r="O79" i="25"/>
  <c r="P79" i="25"/>
  <c r="R79" i="25"/>
  <c r="Q79" i="25"/>
  <c r="L80" i="25"/>
  <c r="M80" i="25"/>
  <c r="N80" i="25"/>
  <c r="O80" i="25"/>
  <c r="P80" i="25"/>
  <c r="R80" i="25"/>
  <c r="Q80" i="25"/>
  <c r="L81" i="25"/>
  <c r="M81" i="25"/>
  <c r="N81" i="25"/>
  <c r="O81" i="25"/>
  <c r="P81" i="25"/>
  <c r="Q81" i="25"/>
  <c r="L82" i="25"/>
  <c r="M82" i="25"/>
  <c r="N82" i="25"/>
  <c r="O82" i="25"/>
  <c r="P82" i="25"/>
  <c r="R82" i="25"/>
  <c r="Q82" i="25"/>
  <c r="L83" i="25"/>
  <c r="M83" i="25"/>
  <c r="N83" i="25"/>
  <c r="O83" i="25"/>
  <c r="P83" i="25"/>
  <c r="Q83" i="25"/>
  <c r="L84" i="25"/>
  <c r="M84" i="25"/>
  <c r="N84" i="25"/>
  <c r="O84" i="25"/>
  <c r="P84" i="25"/>
  <c r="R84" i="25"/>
  <c r="Q84" i="25"/>
  <c r="L85" i="25"/>
  <c r="M85" i="25"/>
  <c r="N85" i="25"/>
  <c r="O85" i="25"/>
  <c r="P85" i="25"/>
  <c r="R85" i="25"/>
  <c r="Q85" i="25"/>
  <c r="L86" i="25"/>
  <c r="M86" i="25"/>
  <c r="N86" i="25"/>
  <c r="O86" i="25"/>
  <c r="P86" i="25"/>
  <c r="R86" i="25"/>
  <c r="Q86" i="25"/>
  <c r="L87" i="25"/>
  <c r="M87" i="25"/>
  <c r="N87" i="25"/>
  <c r="O87" i="25"/>
  <c r="P87" i="25"/>
  <c r="R87" i="25"/>
  <c r="Q87" i="25"/>
  <c r="L88" i="25"/>
  <c r="M88" i="25"/>
  <c r="N88" i="25"/>
  <c r="O88" i="25"/>
  <c r="P88" i="25"/>
  <c r="R88" i="25"/>
  <c r="Q88" i="25"/>
  <c r="L89" i="25"/>
  <c r="M89" i="25"/>
  <c r="N89" i="25"/>
  <c r="O89" i="25"/>
  <c r="P89" i="25"/>
  <c r="R89" i="25"/>
  <c r="Q89" i="25"/>
  <c r="L90" i="25"/>
  <c r="M90" i="25"/>
  <c r="N90" i="25"/>
  <c r="O90" i="25"/>
  <c r="P90" i="25"/>
  <c r="Q90" i="25"/>
  <c r="L91" i="25"/>
  <c r="M91" i="25"/>
  <c r="N91" i="25"/>
  <c r="O91" i="25"/>
  <c r="P91" i="25"/>
  <c r="R91" i="25"/>
  <c r="Q91" i="25"/>
  <c r="L92" i="25"/>
  <c r="M92" i="25"/>
  <c r="N92" i="25"/>
  <c r="O92" i="25"/>
  <c r="P92" i="25"/>
  <c r="Q92" i="25"/>
  <c r="L93" i="25"/>
  <c r="M93" i="25"/>
  <c r="N93" i="25"/>
  <c r="O93" i="25"/>
  <c r="P93" i="25"/>
  <c r="R93" i="25"/>
  <c r="Q93" i="25"/>
  <c r="L94" i="25"/>
  <c r="M94" i="25"/>
  <c r="N94" i="25"/>
  <c r="O94" i="25"/>
  <c r="P94" i="25"/>
  <c r="R94" i="25"/>
  <c r="Q94" i="25"/>
  <c r="L95" i="25"/>
  <c r="M95" i="25"/>
  <c r="N95" i="25"/>
  <c r="O95" i="25"/>
  <c r="P95" i="25"/>
  <c r="R95" i="25"/>
  <c r="Q95" i="25"/>
  <c r="L96" i="25"/>
  <c r="M96" i="25"/>
  <c r="N96" i="25"/>
  <c r="O96" i="25"/>
  <c r="P96" i="25"/>
  <c r="R96" i="25"/>
  <c r="Q96" i="25"/>
  <c r="L97" i="25"/>
  <c r="M97" i="25"/>
  <c r="N97" i="25"/>
  <c r="O97" i="25"/>
  <c r="P97" i="25"/>
  <c r="R97" i="25"/>
  <c r="Q97" i="25"/>
  <c r="L98" i="25"/>
  <c r="M98" i="25"/>
  <c r="N98" i="25"/>
  <c r="O98" i="25"/>
  <c r="P98" i="25"/>
  <c r="Q98" i="25"/>
  <c r="L99" i="25"/>
  <c r="M99" i="25"/>
  <c r="N99" i="25"/>
  <c r="O99" i="25"/>
  <c r="P99" i="25"/>
  <c r="R99" i="25"/>
  <c r="Q99" i="25"/>
  <c r="L100" i="25"/>
  <c r="M100" i="25"/>
  <c r="N100" i="25"/>
  <c r="O100" i="25"/>
  <c r="P100" i="25"/>
  <c r="Q100" i="25"/>
  <c r="L101" i="25"/>
  <c r="M101" i="25"/>
  <c r="N101" i="25"/>
  <c r="O101" i="25"/>
  <c r="P101" i="25"/>
  <c r="R101" i="25"/>
  <c r="Q101" i="25"/>
  <c r="L102" i="25"/>
  <c r="M102" i="25"/>
  <c r="N102" i="25"/>
  <c r="O102" i="25"/>
  <c r="P102" i="25"/>
  <c r="Q102" i="25"/>
  <c r="L103" i="25"/>
  <c r="M103" i="25"/>
  <c r="N103" i="25"/>
  <c r="O103" i="25"/>
  <c r="P103" i="25"/>
  <c r="R103" i="25"/>
  <c r="Q103" i="25"/>
  <c r="L104" i="25"/>
  <c r="M104" i="25"/>
  <c r="N104" i="25"/>
  <c r="O104" i="25"/>
  <c r="P104" i="25"/>
  <c r="Q104" i="25"/>
  <c r="L105" i="25"/>
  <c r="M105" i="25"/>
  <c r="N105" i="25"/>
  <c r="O105" i="25"/>
  <c r="P105" i="25"/>
  <c r="R105" i="25"/>
  <c r="Q105" i="25"/>
  <c r="L106" i="25"/>
  <c r="M106" i="25"/>
  <c r="N106" i="25"/>
  <c r="O106" i="25"/>
  <c r="P106" i="25"/>
  <c r="Q106" i="25"/>
  <c r="R28" i="20"/>
  <c r="R109" i="20" s="1"/>
  <c r="R29" i="20"/>
  <c r="R31" i="20"/>
  <c r="R32" i="20"/>
  <c r="R35" i="20"/>
  <c r="R36" i="20"/>
  <c r="R37" i="20"/>
  <c r="R38" i="20"/>
  <c r="R39" i="20"/>
  <c r="R41" i="20"/>
  <c r="R42" i="20"/>
  <c r="R43" i="20"/>
  <c r="R45" i="20"/>
  <c r="R46" i="20"/>
  <c r="R47" i="20"/>
  <c r="R50" i="20"/>
  <c r="R51" i="20"/>
  <c r="R52" i="20"/>
  <c r="R53" i="20"/>
  <c r="R55" i="20"/>
  <c r="R56" i="20"/>
  <c r="R57" i="20"/>
  <c r="R58" i="20"/>
  <c r="R59" i="20"/>
  <c r="R60" i="20"/>
  <c r="R61" i="20"/>
  <c r="R62" i="20"/>
  <c r="R64" i="20"/>
  <c r="R65" i="20"/>
  <c r="R66" i="20"/>
  <c r="R68" i="20"/>
  <c r="R69" i="20"/>
  <c r="R70" i="20"/>
  <c r="R71" i="20"/>
  <c r="R72" i="20"/>
  <c r="R74" i="20"/>
  <c r="R76" i="20"/>
  <c r="R78" i="20"/>
  <c r="L91" i="20"/>
  <c r="M91" i="20"/>
  <c r="N91" i="20"/>
  <c r="O91" i="20"/>
  <c r="P91" i="20"/>
  <c r="R91" i="20"/>
  <c r="Q91" i="20"/>
  <c r="L92" i="20"/>
  <c r="M92" i="20"/>
  <c r="N92" i="20"/>
  <c r="O92" i="20"/>
  <c r="P92" i="20"/>
  <c r="Q92" i="20"/>
  <c r="L93" i="20"/>
  <c r="M93" i="20"/>
  <c r="N93" i="20"/>
  <c r="O93" i="20"/>
  <c r="P93" i="20"/>
  <c r="R93" i="20"/>
  <c r="Q93" i="20"/>
  <c r="L94" i="20"/>
  <c r="M94" i="20"/>
  <c r="N94" i="20"/>
  <c r="O94" i="20"/>
  <c r="P94" i="20"/>
  <c r="R94" i="20"/>
  <c r="Q94" i="20"/>
  <c r="L95" i="20"/>
  <c r="M95" i="20"/>
  <c r="N95" i="20"/>
  <c r="O95" i="20"/>
  <c r="P95" i="20"/>
  <c r="R95" i="20"/>
  <c r="Q95" i="20"/>
  <c r="L96" i="20"/>
  <c r="M96" i="20"/>
  <c r="N96" i="20"/>
  <c r="O96" i="20"/>
  <c r="P96" i="20"/>
  <c r="R96" i="20"/>
  <c r="Q96" i="20"/>
  <c r="L97" i="20"/>
  <c r="M97" i="20"/>
  <c r="N97" i="20"/>
  <c r="O97" i="20"/>
  <c r="P97" i="20"/>
  <c r="R97" i="20"/>
  <c r="Q97" i="20"/>
  <c r="L98" i="20"/>
  <c r="M98" i="20"/>
  <c r="N98" i="20"/>
  <c r="O98" i="20"/>
  <c r="P98" i="20"/>
  <c r="R98" i="20"/>
  <c r="Q98" i="20"/>
  <c r="L99" i="20"/>
  <c r="M99" i="20"/>
  <c r="N99" i="20"/>
  <c r="O99" i="20"/>
  <c r="P99" i="20"/>
  <c r="R99" i="20"/>
  <c r="Q99" i="20"/>
  <c r="L100" i="20"/>
  <c r="M100" i="20"/>
  <c r="N100" i="20"/>
  <c r="O100" i="20"/>
  <c r="P100" i="20"/>
  <c r="R100" i="20"/>
  <c r="Q100" i="20"/>
  <c r="L101" i="20"/>
  <c r="M101" i="20"/>
  <c r="N101" i="20"/>
  <c r="O101" i="20"/>
  <c r="P101" i="20"/>
  <c r="R101" i="20"/>
  <c r="Q101" i="20"/>
  <c r="L102" i="20"/>
  <c r="M102" i="20"/>
  <c r="N102" i="20"/>
  <c r="O102" i="20"/>
  <c r="P102" i="20"/>
  <c r="R102" i="20"/>
  <c r="Q102" i="20"/>
  <c r="L103" i="20"/>
  <c r="M103" i="20"/>
  <c r="N103" i="20"/>
  <c r="O103" i="20"/>
  <c r="P103" i="20"/>
  <c r="R103" i="20"/>
  <c r="Q103" i="20"/>
  <c r="L104" i="20"/>
  <c r="M104" i="20"/>
  <c r="N104" i="20"/>
  <c r="O104" i="20"/>
  <c r="P104" i="20"/>
  <c r="Q104" i="20"/>
  <c r="L105" i="20"/>
  <c r="M105" i="20"/>
  <c r="N105" i="20"/>
  <c r="O105" i="20"/>
  <c r="P105" i="20"/>
  <c r="R105" i="20"/>
  <c r="Q105" i="20"/>
  <c r="L106" i="20"/>
  <c r="M106" i="20"/>
  <c r="N106" i="20"/>
  <c r="O106" i="20"/>
  <c r="P106" i="20"/>
  <c r="Q106" i="20"/>
  <c r="R27" i="20"/>
  <c r="R33" i="20"/>
  <c r="R49" i="20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D30" i="29"/>
  <c r="E27" i="29"/>
  <c r="E28" i="29"/>
  <c r="E29" i="29"/>
  <c r="D27" i="29"/>
  <c r="D28" i="29"/>
  <c r="D29" i="29"/>
  <c r="E30" i="29"/>
  <c r="D34" i="29"/>
  <c r="E31" i="29"/>
  <c r="E32" i="29"/>
  <c r="E33" i="29"/>
  <c r="D31" i="29"/>
  <c r="D32" i="29"/>
  <c r="D33" i="29"/>
  <c r="E34" i="29"/>
  <c r="D38" i="29"/>
  <c r="E35" i="29"/>
  <c r="E36" i="29"/>
  <c r="E37" i="29"/>
  <c r="D35" i="29"/>
  <c r="D36" i="29"/>
  <c r="D37" i="29"/>
  <c r="E38" i="29"/>
  <c r="D42" i="29"/>
  <c r="E39" i="29"/>
  <c r="E40" i="29"/>
  <c r="E41" i="29"/>
  <c r="D39" i="29"/>
  <c r="D40" i="29"/>
  <c r="D41" i="29"/>
  <c r="E42" i="29"/>
  <c r="D46" i="29"/>
  <c r="E43" i="29"/>
  <c r="E44" i="29"/>
  <c r="E45" i="29"/>
  <c r="D43" i="29"/>
  <c r="D44" i="29"/>
  <c r="D45" i="29"/>
  <c r="E46" i="29"/>
  <c r="D50" i="29"/>
  <c r="E47" i="29"/>
  <c r="E48" i="29"/>
  <c r="E49" i="29"/>
  <c r="D47" i="29"/>
  <c r="D48" i="29"/>
  <c r="D49" i="29"/>
  <c r="E50" i="29"/>
  <c r="D54" i="29"/>
  <c r="E51" i="29"/>
  <c r="E52" i="29"/>
  <c r="E53" i="29"/>
  <c r="D51" i="29"/>
  <c r="D52" i="29"/>
  <c r="D53" i="29"/>
  <c r="E54" i="29"/>
  <c r="D58" i="29"/>
  <c r="E55" i="29"/>
  <c r="E56" i="29"/>
  <c r="E57" i="29"/>
  <c r="D55" i="29"/>
  <c r="D56" i="29"/>
  <c r="D57" i="29"/>
  <c r="E58" i="29"/>
  <c r="D62" i="29"/>
  <c r="E59" i="29"/>
  <c r="E60" i="29"/>
  <c r="E61" i="29"/>
  <c r="D59" i="29"/>
  <c r="D60" i="29"/>
  <c r="D61" i="29"/>
  <c r="E62" i="29"/>
  <c r="D66" i="29"/>
  <c r="E63" i="29"/>
  <c r="E64" i="29"/>
  <c r="E65" i="29"/>
  <c r="D63" i="29"/>
  <c r="D64" i="29"/>
  <c r="D65" i="29"/>
  <c r="E66" i="29"/>
  <c r="D70" i="29"/>
  <c r="E67" i="29"/>
  <c r="E68" i="29"/>
  <c r="E69" i="29"/>
  <c r="D67" i="29"/>
  <c r="D68" i="29"/>
  <c r="D69" i="29"/>
  <c r="E70" i="29"/>
  <c r="D74" i="29"/>
  <c r="E71" i="29"/>
  <c r="E72" i="29"/>
  <c r="E73" i="29"/>
  <c r="D71" i="29"/>
  <c r="D72" i="29"/>
  <c r="D73" i="29"/>
  <c r="E74" i="29"/>
  <c r="D78" i="29"/>
  <c r="E75" i="29"/>
  <c r="E76" i="29"/>
  <c r="E77" i="29"/>
  <c r="D75" i="29"/>
  <c r="D76" i="29"/>
  <c r="D77" i="29"/>
  <c r="E78" i="29"/>
  <c r="D82" i="29"/>
  <c r="E79" i="29"/>
  <c r="E80" i="29"/>
  <c r="E81" i="29"/>
  <c r="D79" i="29"/>
  <c r="D80" i="29"/>
  <c r="D81" i="29"/>
  <c r="E82" i="29"/>
  <c r="D86" i="29"/>
  <c r="E83" i="29"/>
  <c r="E84" i="29"/>
  <c r="E85" i="29"/>
  <c r="D83" i="29"/>
  <c r="D84" i="29"/>
  <c r="D85" i="29"/>
  <c r="E86" i="29"/>
  <c r="D90" i="29"/>
  <c r="E87" i="29"/>
  <c r="E88" i="29"/>
  <c r="E89" i="29"/>
  <c r="D87" i="29"/>
  <c r="D88" i="29"/>
  <c r="D89" i="29"/>
  <c r="E90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R27" i="29"/>
  <c r="H27" i="29"/>
  <c r="H28" i="29"/>
  <c r="H29" i="29"/>
  <c r="H30" i="29"/>
  <c r="J30" i="29"/>
  <c r="H31" i="29"/>
  <c r="J31" i="29"/>
  <c r="H32" i="29"/>
  <c r="J32" i="29"/>
  <c r="R33" i="29"/>
  <c r="H33" i="29"/>
  <c r="J33" i="29"/>
  <c r="H34" i="29"/>
  <c r="J34" i="29"/>
  <c r="H35" i="29"/>
  <c r="J35" i="29"/>
  <c r="H36" i="29"/>
  <c r="J36" i="29"/>
  <c r="R37" i="29"/>
  <c r="H37" i="29"/>
  <c r="H38" i="29"/>
  <c r="J38" i="29"/>
  <c r="J39" i="29"/>
  <c r="H40" i="29"/>
  <c r="H41" i="29"/>
  <c r="J41" i="29"/>
  <c r="H42" i="29"/>
  <c r="H43" i="29"/>
  <c r="H44" i="29"/>
  <c r="J44" i="29"/>
  <c r="H45" i="29"/>
  <c r="H46" i="29"/>
  <c r="J46" i="29"/>
  <c r="H47" i="29"/>
  <c r="J47" i="29"/>
  <c r="H48" i="29"/>
  <c r="J48" i="29"/>
  <c r="H49" i="29"/>
  <c r="H50" i="29"/>
  <c r="J50" i="29"/>
  <c r="H51" i="29"/>
  <c r="H52" i="29"/>
  <c r="J52" i="29"/>
  <c r="R53" i="29"/>
  <c r="H53" i="29"/>
  <c r="H54" i="29"/>
  <c r="J54" i="29"/>
  <c r="H55" i="29"/>
  <c r="J55" i="29"/>
  <c r="H56" i="29"/>
  <c r="J56" i="29"/>
  <c r="R57" i="29"/>
  <c r="H57" i="29"/>
  <c r="J57" i="29"/>
  <c r="H58" i="29"/>
  <c r="J58" i="29"/>
  <c r="H59" i="29"/>
  <c r="J59" i="29"/>
  <c r="H60" i="29"/>
  <c r="J60" i="29"/>
  <c r="H61" i="29"/>
  <c r="H62" i="29"/>
  <c r="J62" i="29"/>
  <c r="H63" i="29"/>
  <c r="J63" i="29"/>
  <c r="H64" i="29"/>
  <c r="J64" i="29"/>
  <c r="H65" i="29"/>
  <c r="H66" i="29"/>
  <c r="J66" i="29"/>
  <c r="H67" i="29"/>
  <c r="J67" i="29"/>
  <c r="H68" i="29"/>
  <c r="J68" i="29"/>
  <c r="H69" i="29"/>
  <c r="H70" i="29"/>
  <c r="J70" i="29"/>
  <c r="H71" i="29"/>
  <c r="J71" i="29"/>
  <c r="H72" i="29"/>
  <c r="J72" i="29"/>
  <c r="H73" i="29"/>
  <c r="J73" i="29"/>
  <c r="H74" i="29"/>
  <c r="J74" i="29"/>
  <c r="H75" i="29"/>
  <c r="J75" i="29"/>
  <c r="H76" i="29"/>
  <c r="J76" i="29"/>
  <c r="H77" i="29"/>
  <c r="S77" i="29"/>
  <c r="H78" i="29"/>
  <c r="J78" i="29"/>
  <c r="H79" i="29"/>
  <c r="H80" i="29"/>
  <c r="J80" i="29"/>
  <c r="H81" i="29"/>
  <c r="J81" i="29"/>
  <c r="H82" i="29"/>
  <c r="J82" i="29"/>
  <c r="R83" i="29"/>
  <c r="H83" i="29"/>
  <c r="H84" i="29"/>
  <c r="J84" i="29"/>
  <c r="H85" i="29"/>
  <c r="J85" i="29"/>
  <c r="H86" i="29"/>
  <c r="J86" i="29"/>
  <c r="H87" i="29"/>
  <c r="J87" i="29"/>
  <c r="H88" i="29"/>
  <c r="J88" i="29"/>
  <c r="H89" i="29"/>
  <c r="H90" i="29"/>
  <c r="J90" i="29"/>
  <c r="I27" i="29"/>
  <c r="I28" i="29"/>
  <c r="I29" i="29"/>
  <c r="I30" i="29"/>
  <c r="I31" i="29"/>
  <c r="I32" i="29"/>
  <c r="I33" i="29"/>
  <c r="T33" i="29"/>
  <c r="I34" i="29"/>
  <c r="I35" i="29"/>
  <c r="T35" i="29"/>
  <c r="I36" i="29"/>
  <c r="I37" i="29"/>
  <c r="T37" i="29"/>
  <c r="I38" i="29"/>
  <c r="I39" i="29"/>
  <c r="I40" i="29"/>
  <c r="I41" i="29"/>
  <c r="I42" i="29"/>
  <c r="I43" i="29"/>
  <c r="T43" i="29"/>
  <c r="I44" i="29"/>
  <c r="I45" i="29"/>
  <c r="T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T65" i="29"/>
  <c r="I66" i="29"/>
  <c r="I67" i="29"/>
  <c r="I68" i="29"/>
  <c r="I69" i="29"/>
  <c r="I70" i="29"/>
  <c r="I71" i="29"/>
  <c r="I72" i="29"/>
  <c r="I73" i="29"/>
  <c r="T73" i="29"/>
  <c r="I74" i="29"/>
  <c r="I75" i="29"/>
  <c r="I76" i="29"/>
  <c r="I77" i="29"/>
  <c r="T77" i="29"/>
  <c r="I78" i="29"/>
  <c r="I79" i="29"/>
  <c r="I80" i="29"/>
  <c r="I81" i="29"/>
  <c r="I82" i="29"/>
  <c r="I83" i="29"/>
  <c r="I84" i="29"/>
  <c r="I85" i="29"/>
  <c r="T85" i="29"/>
  <c r="I86" i="29"/>
  <c r="I87" i="29"/>
  <c r="I89" i="29"/>
  <c r="I90" i="29"/>
  <c r="R43" i="29"/>
  <c r="D94" i="29"/>
  <c r="E91" i="29"/>
  <c r="E92" i="29"/>
  <c r="E93" i="29"/>
  <c r="D91" i="29"/>
  <c r="D92" i="29"/>
  <c r="D93" i="29"/>
  <c r="E94" i="29"/>
  <c r="D98" i="29"/>
  <c r="E95" i="29"/>
  <c r="E96" i="29"/>
  <c r="E97" i="29"/>
  <c r="D95" i="29"/>
  <c r="D96" i="29"/>
  <c r="D97" i="29"/>
  <c r="E98" i="29"/>
  <c r="D102" i="29"/>
  <c r="E99" i="29"/>
  <c r="E100" i="29"/>
  <c r="E101" i="29"/>
  <c r="D99" i="29"/>
  <c r="D100" i="29"/>
  <c r="D101" i="29"/>
  <c r="E102" i="29"/>
  <c r="D106" i="29"/>
  <c r="E103" i="29"/>
  <c r="E104" i="29"/>
  <c r="E105" i="29"/>
  <c r="D103" i="29"/>
  <c r="D104" i="29"/>
  <c r="D105" i="29"/>
  <c r="E106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H91" i="29"/>
  <c r="J91" i="29"/>
  <c r="H92" i="29"/>
  <c r="J92" i="29"/>
  <c r="H93" i="29"/>
  <c r="J93" i="29"/>
  <c r="H94" i="29"/>
  <c r="J94" i="29"/>
  <c r="H95" i="29"/>
  <c r="J95" i="29"/>
  <c r="H96" i="29"/>
  <c r="J96" i="29"/>
  <c r="H97" i="29"/>
  <c r="J97" i="29"/>
  <c r="H98" i="29"/>
  <c r="J98" i="29"/>
  <c r="H99" i="29"/>
  <c r="H100" i="29"/>
  <c r="J100" i="29"/>
  <c r="H101" i="29"/>
  <c r="H102" i="29"/>
  <c r="J102" i="29"/>
  <c r="H103" i="29"/>
  <c r="S103" i="29"/>
  <c r="H104" i="29"/>
  <c r="H105" i="29"/>
  <c r="H106" i="29"/>
  <c r="I91" i="29"/>
  <c r="I92" i="29"/>
  <c r="I93" i="29"/>
  <c r="T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T105" i="29"/>
  <c r="I106" i="29"/>
  <c r="R97" i="29"/>
  <c r="D30" i="25"/>
  <c r="E27" i="25"/>
  <c r="E28" i="25"/>
  <c r="E29" i="25"/>
  <c r="D27" i="25"/>
  <c r="D28" i="25"/>
  <c r="D29" i="25"/>
  <c r="E30" i="25"/>
  <c r="D34" i="25"/>
  <c r="E31" i="25"/>
  <c r="E32" i="25"/>
  <c r="E33" i="25"/>
  <c r="D31" i="25"/>
  <c r="D32" i="25"/>
  <c r="D33" i="25"/>
  <c r="E34" i="25"/>
  <c r="D38" i="25"/>
  <c r="E35" i="25"/>
  <c r="E36" i="25"/>
  <c r="E37" i="25"/>
  <c r="D35" i="25"/>
  <c r="D36" i="25"/>
  <c r="D37" i="25"/>
  <c r="E38" i="25"/>
  <c r="D42" i="25"/>
  <c r="E39" i="25"/>
  <c r="E40" i="25"/>
  <c r="E41" i="25"/>
  <c r="D39" i="25"/>
  <c r="D40" i="25"/>
  <c r="D41" i="25"/>
  <c r="E42" i="25"/>
  <c r="D46" i="25"/>
  <c r="E43" i="25"/>
  <c r="E44" i="25"/>
  <c r="E45" i="25"/>
  <c r="D43" i="25"/>
  <c r="D44" i="25"/>
  <c r="D45" i="25"/>
  <c r="E46" i="25"/>
  <c r="D50" i="25"/>
  <c r="E47" i="25"/>
  <c r="E48" i="25"/>
  <c r="E49" i="25"/>
  <c r="D47" i="25"/>
  <c r="D48" i="25"/>
  <c r="D49" i="25"/>
  <c r="E50" i="25"/>
  <c r="D54" i="25"/>
  <c r="E51" i="25"/>
  <c r="E52" i="25"/>
  <c r="E53" i="25"/>
  <c r="D51" i="25"/>
  <c r="D52" i="25"/>
  <c r="D53" i="25"/>
  <c r="E54" i="25"/>
  <c r="D58" i="25"/>
  <c r="E55" i="25"/>
  <c r="E56" i="25"/>
  <c r="E57" i="25"/>
  <c r="D55" i="25"/>
  <c r="D56" i="25"/>
  <c r="D57" i="25"/>
  <c r="E58" i="25"/>
  <c r="D62" i="25"/>
  <c r="E59" i="25"/>
  <c r="E60" i="25"/>
  <c r="E61" i="25"/>
  <c r="D59" i="25"/>
  <c r="D60" i="25"/>
  <c r="D61" i="25"/>
  <c r="E62" i="25"/>
  <c r="D66" i="25"/>
  <c r="E63" i="25"/>
  <c r="E64" i="25"/>
  <c r="E65" i="25"/>
  <c r="D63" i="25"/>
  <c r="D64" i="25"/>
  <c r="D65" i="25"/>
  <c r="E66" i="25"/>
  <c r="D70" i="25"/>
  <c r="E67" i="25"/>
  <c r="E68" i="25"/>
  <c r="E69" i="25"/>
  <c r="D67" i="25"/>
  <c r="D68" i="25"/>
  <c r="D69" i="25"/>
  <c r="E70" i="25"/>
  <c r="D74" i="25"/>
  <c r="E71" i="25"/>
  <c r="E72" i="25"/>
  <c r="E73" i="25"/>
  <c r="D71" i="25"/>
  <c r="D72" i="25"/>
  <c r="D73" i="25"/>
  <c r="E74" i="25"/>
  <c r="D78" i="25"/>
  <c r="E75" i="25"/>
  <c r="E76" i="25"/>
  <c r="E77" i="25"/>
  <c r="D75" i="25"/>
  <c r="D76" i="25"/>
  <c r="D77" i="25"/>
  <c r="E78" i="25"/>
  <c r="D82" i="25"/>
  <c r="E79" i="25"/>
  <c r="E80" i="25"/>
  <c r="E81" i="25"/>
  <c r="D79" i="25"/>
  <c r="D80" i="25"/>
  <c r="D81" i="25"/>
  <c r="E82" i="25"/>
  <c r="D86" i="25"/>
  <c r="E83" i="25"/>
  <c r="E84" i="25"/>
  <c r="E85" i="25"/>
  <c r="D83" i="25"/>
  <c r="D84" i="25"/>
  <c r="D85" i="25"/>
  <c r="E86" i="25"/>
  <c r="D90" i="25"/>
  <c r="E87" i="25"/>
  <c r="E88" i="25"/>
  <c r="E89" i="25"/>
  <c r="D87" i="25"/>
  <c r="D88" i="25"/>
  <c r="D89" i="25"/>
  <c r="E90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H27" i="25"/>
  <c r="J27" i="25"/>
  <c r="H28" i="25"/>
  <c r="H29" i="25"/>
  <c r="J29" i="25"/>
  <c r="H30" i="25"/>
  <c r="J30" i="25"/>
  <c r="H31" i="25"/>
  <c r="J31" i="25"/>
  <c r="H32" i="25"/>
  <c r="J32" i="25"/>
  <c r="H33" i="25"/>
  <c r="J33" i="25"/>
  <c r="H34" i="25"/>
  <c r="J34" i="25"/>
  <c r="H35" i="25"/>
  <c r="J35" i="25"/>
  <c r="H36" i="25"/>
  <c r="J36" i="25"/>
  <c r="H37" i="25"/>
  <c r="J37" i="25"/>
  <c r="H38" i="25"/>
  <c r="H39" i="25"/>
  <c r="J39" i="25"/>
  <c r="H40" i="25"/>
  <c r="J40" i="25"/>
  <c r="H41" i="25"/>
  <c r="J41" i="25"/>
  <c r="H42" i="25"/>
  <c r="J42" i="25"/>
  <c r="H43" i="25"/>
  <c r="H44" i="25"/>
  <c r="J44" i="25"/>
  <c r="H45" i="25"/>
  <c r="J45" i="25"/>
  <c r="H46" i="25"/>
  <c r="J46" i="25"/>
  <c r="H47" i="25"/>
  <c r="J47" i="25"/>
  <c r="H48" i="25"/>
  <c r="J48" i="25"/>
  <c r="H49" i="25"/>
  <c r="J49" i="25"/>
  <c r="H50" i="25"/>
  <c r="J50" i="25"/>
  <c r="H51" i="25"/>
  <c r="J51" i="25"/>
  <c r="H52" i="25"/>
  <c r="H53" i="25"/>
  <c r="J53" i="25"/>
  <c r="H54" i="25"/>
  <c r="J54" i="25"/>
  <c r="H55" i="25"/>
  <c r="J55" i="25"/>
  <c r="H56" i="25"/>
  <c r="J56" i="25"/>
  <c r="H57" i="25"/>
  <c r="J57" i="25"/>
  <c r="H58" i="25"/>
  <c r="J58" i="25"/>
  <c r="H59" i="25"/>
  <c r="J59" i="25"/>
  <c r="H60" i="25"/>
  <c r="J60" i="25"/>
  <c r="H61" i="25"/>
  <c r="J61" i="25"/>
  <c r="H62" i="25"/>
  <c r="J62" i="25"/>
  <c r="R63" i="25"/>
  <c r="H63" i="25"/>
  <c r="J63" i="25"/>
  <c r="H64" i="25"/>
  <c r="J64" i="25"/>
  <c r="H65" i="25"/>
  <c r="J65" i="25"/>
  <c r="H66" i="25"/>
  <c r="R67" i="25"/>
  <c r="H67" i="25"/>
  <c r="J67" i="25"/>
  <c r="H68" i="25"/>
  <c r="H69" i="25"/>
  <c r="J69" i="25"/>
  <c r="H70" i="25"/>
  <c r="H71" i="25"/>
  <c r="J71" i="25"/>
  <c r="H72" i="25"/>
  <c r="J72" i="25"/>
  <c r="H73" i="25"/>
  <c r="J73" i="25"/>
  <c r="H74" i="25"/>
  <c r="H75" i="25"/>
  <c r="H76" i="25"/>
  <c r="J76" i="25"/>
  <c r="R77" i="25"/>
  <c r="H77" i="25"/>
  <c r="J77" i="25"/>
  <c r="H78" i="25"/>
  <c r="J78" i="25"/>
  <c r="H79" i="25"/>
  <c r="J79" i="25"/>
  <c r="H80" i="25"/>
  <c r="H81" i="25"/>
  <c r="J81" i="25"/>
  <c r="H82" i="25"/>
  <c r="J82" i="25"/>
  <c r="H83" i="25"/>
  <c r="J83" i="25"/>
  <c r="H84" i="25"/>
  <c r="J84" i="25"/>
  <c r="H85" i="25"/>
  <c r="H86" i="25"/>
  <c r="J86" i="25"/>
  <c r="H87" i="25"/>
  <c r="J87" i="25"/>
  <c r="H88" i="25"/>
  <c r="H89" i="25"/>
  <c r="H90" i="25"/>
  <c r="J90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T47" i="25"/>
  <c r="I48" i="25"/>
  <c r="I49" i="25"/>
  <c r="I50" i="25"/>
  <c r="I51" i="25"/>
  <c r="I52" i="25"/>
  <c r="I53" i="25"/>
  <c r="I54" i="25"/>
  <c r="I55" i="25"/>
  <c r="T55" i="25"/>
  <c r="I56" i="25"/>
  <c r="I57" i="25"/>
  <c r="I58" i="25"/>
  <c r="I59" i="25"/>
  <c r="I60" i="25"/>
  <c r="I61" i="25"/>
  <c r="I62" i="25"/>
  <c r="I63" i="25"/>
  <c r="T63" i="25"/>
  <c r="I64" i="25"/>
  <c r="I65" i="25"/>
  <c r="I66" i="25"/>
  <c r="I67" i="25"/>
  <c r="T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R73" i="25"/>
  <c r="D94" i="25"/>
  <c r="E91" i="25"/>
  <c r="E92" i="25"/>
  <c r="E93" i="25"/>
  <c r="D91" i="25"/>
  <c r="D92" i="25"/>
  <c r="D93" i="25"/>
  <c r="E94" i="25"/>
  <c r="D98" i="25"/>
  <c r="E95" i="25"/>
  <c r="E96" i="25"/>
  <c r="E97" i="25"/>
  <c r="D95" i="25"/>
  <c r="D96" i="25"/>
  <c r="D97" i="25"/>
  <c r="E98" i="25"/>
  <c r="D102" i="25"/>
  <c r="E99" i="25"/>
  <c r="E100" i="25"/>
  <c r="E101" i="25"/>
  <c r="D99" i="25"/>
  <c r="D100" i="25"/>
  <c r="D101" i="25"/>
  <c r="E102" i="25"/>
  <c r="D106" i="25"/>
  <c r="E103" i="25"/>
  <c r="E104" i="25"/>
  <c r="E105" i="25"/>
  <c r="D103" i="25"/>
  <c r="D104" i="25"/>
  <c r="D105" i="25"/>
  <c r="E106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H91" i="25"/>
  <c r="S91" i="25"/>
  <c r="H92" i="25"/>
  <c r="J92" i="25"/>
  <c r="H93" i="25"/>
  <c r="J93" i="25"/>
  <c r="H94" i="25"/>
  <c r="J94" i="25"/>
  <c r="H95" i="25"/>
  <c r="J95" i="25"/>
  <c r="H96" i="25"/>
  <c r="J96" i="25"/>
  <c r="H97" i="25"/>
  <c r="J97" i="25"/>
  <c r="H98" i="25"/>
  <c r="J98" i="25"/>
  <c r="H99" i="25"/>
  <c r="H100" i="25"/>
  <c r="J100" i="25"/>
  <c r="H101" i="25"/>
  <c r="J101" i="25"/>
  <c r="H102" i="25"/>
  <c r="J102" i="25"/>
  <c r="H103" i="25"/>
  <c r="H104" i="25"/>
  <c r="J104" i="25"/>
  <c r="H105" i="25"/>
  <c r="J105" i="25"/>
  <c r="H106" i="25"/>
  <c r="J106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T103" i="25"/>
  <c r="I104" i="25"/>
  <c r="I105" i="25"/>
  <c r="I106" i="25"/>
  <c r="J3" i="20"/>
  <c r="R4" i="20"/>
  <c r="J4" i="20"/>
  <c r="R5" i="20"/>
  <c r="J5" i="20"/>
  <c r="J6" i="20"/>
  <c r="R7" i="20"/>
  <c r="R107" i="20" s="1"/>
  <c r="J7" i="20"/>
  <c r="R8" i="20"/>
  <c r="J8" i="20"/>
  <c r="J9" i="20"/>
  <c r="R10" i="20"/>
  <c r="J10" i="20"/>
  <c r="R11" i="20"/>
  <c r="J11" i="20"/>
  <c r="R12" i="20"/>
  <c r="J12" i="20"/>
  <c r="R13" i="20"/>
  <c r="J13" i="20"/>
  <c r="R14" i="20"/>
  <c r="R15" i="20"/>
  <c r="J15" i="20"/>
  <c r="R16" i="20"/>
  <c r="J16" i="20"/>
  <c r="R17" i="20"/>
  <c r="J17" i="20"/>
  <c r="R18" i="20"/>
  <c r="R108" i="20" s="1"/>
  <c r="R19" i="20"/>
  <c r="J19" i="20"/>
  <c r="J20" i="20"/>
  <c r="R21" i="20"/>
  <c r="R22" i="20"/>
  <c r="R23" i="20"/>
  <c r="J23" i="20"/>
  <c r="J25" i="20"/>
  <c r="J26" i="20"/>
  <c r="J27" i="20"/>
  <c r="J28" i="20"/>
  <c r="J29" i="20"/>
  <c r="J109" i="20" s="1"/>
  <c r="J30" i="20"/>
  <c r="J31" i="20"/>
  <c r="J32" i="20"/>
  <c r="J34" i="20"/>
  <c r="J35" i="20"/>
  <c r="J36" i="20"/>
  <c r="J39" i="20"/>
  <c r="J40" i="20"/>
  <c r="J41" i="20"/>
  <c r="J42" i="20"/>
  <c r="J43" i="20"/>
  <c r="J44" i="20"/>
  <c r="J45" i="20"/>
  <c r="J48" i="20"/>
  <c r="J49" i="20"/>
  <c r="J50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T27" i="20"/>
  <c r="T63" i="20"/>
  <c r="T67" i="20"/>
  <c r="B42" i="9"/>
  <c r="B30" i="9"/>
  <c r="B18" i="9"/>
  <c r="H91" i="20"/>
  <c r="H92" i="20"/>
  <c r="H93" i="20"/>
  <c r="J93" i="20"/>
  <c r="H94" i="20"/>
  <c r="J94" i="20"/>
  <c r="H95" i="20"/>
  <c r="H96" i="20"/>
  <c r="J96" i="20"/>
  <c r="H97" i="20"/>
  <c r="J97" i="20"/>
  <c r="H98" i="20"/>
  <c r="J98" i="20"/>
  <c r="H99" i="20"/>
  <c r="J99" i="20"/>
  <c r="H100" i="20"/>
  <c r="J100" i="20"/>
  <c r="H101" i="20"/>
  <c r="H102" i="20"/>
  <c r="J102" i="20"/>
  <c r="H103" i="20"/>
  <c r="J103" i="20"/>
  <c r="H104" i="20"/>
  <c r="J104" i="20"/>
  <c r="H105" i="20"/>
  <c r="J105" i="20"/>
  <c r="H106" i="20"/>
  <c r="J106" i="20"/>
  <c r="I91" i="20"/>
  <c r="I92" i="20"/>
  <c r="I93" i="20"/>
  <c r="I94" i="20"/>
  <c r="I95" i="20"/>
  <c r="T95" i="20"/>
  <c r="I96" i="20"/>
  <c r="I97" i="20"/>
  <c r="I98" i="20"/>
  <c r="I99" i="20"/>
  <c r="T99" i="20"/>
  <c r="I100" i="20"/>
  <c r="I101" i="20"/>
  <c r="I102" i="20"/>
  <c r="I103" i="20"/>
  <c r="I104" i="20"/>
  <c r="I105" i="20"/>
  <c r="T105" i="20"/>
  <c r="I106" i="20"/>
  <c r="D94" i="20"/>
  <c r="G91" i="20"/>
  <c r="G92" i="20"/>
  <c r="G93" i="20"/>
  <c r="D91" i="20"/>
  <c r="D92" i="20"/>
  <c r="D93" i="20"/>
  <c r="G94" i="20"/>
  <c r="D98" i="20"/>
  <c r="G95" i="20"/>
  <c r="G96" i="20"/>
  <c r="G97" i="20"/>
  <c r="D95" i="20"/>
  <c r="D96" i="20"/>
  <c r="D97" i="20"/>
  <c r="G98" i="20"/>
  <c r="D102" i="20"/>
  <c r="G99" i="20"/>
  <c r="G100" i="20"/>
  <c r="G101" i="20"/>
  <c r="D99" i="20"/>
  <c r="D100" i="20"/>
  <c r="D101" i="20"/>
  <c r="G102" i="20"/>
  <c r="D106" i="20"/>
  <c r="G103" i="20"/>
  <c r="G104" i="20"/>
  <c r="G105" i="20"/>
  <c r="D103" i="20"/>
  <c r="D104" i="20"/>
  <c r="D105" i="20"/>
  <c r="G106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R90" i="27"/>
  <c r="T90" i="27"/>
  <c r="J90" i="27"/>
  <c r="R89" i="27"/>
  <c r="J89" i="27"/>
  <c r="R88" i="27"/>
  <c r="J88" i="27"/>
  <c r="R87" i="27"/>
  <c r="J87" i="27"/>
  <c r="R86" i="27"/>
  <c r="J86" i="27"/>
  <c r="R85" i="27"/>
  <c r="J84" i="27"/>
  <c r="R83" i="27"/>
  <c r="J83" i="27"/>
  <c r="R82" i="27"/>
  <c r="J81" i="27"/>
  <c r="R80" i="27"/>
  <c r="J80" i="27"/>
  <c r="R79" i="27"/>
  <c r="J79" i="27"/>
  <c r="Q106" i="27"/>
  <c r="R106" i="27"/>
  <c r="I106" i="27"/>
  <c r="H106" i="27"/>
  <c r="J106" i="27"/>
  <c r="G106" i="27"/>
  <c r="F106" i="27"/>
  <c r="E106" i="27"/>
  <c r="D106" i="27"/>
  <c r="Q105" i="27"/>
  <c r="R105" i="27"/>
  <c r="I105" i="27"/>
  <c r="H105" i="27"/>
  <c r="J105" i="27"/>
  <c r="G105" i="27"/>
  <c r="F105" i="27"/>
  <c r="E105" i="27"/>
  <c r="D105" i="27"/>
  <c r="Q104" i="27"/>
  <c r="R104" i="27"/>
  <c r="I104" i="27"/>
  <c r="H104" i="27"/>
  <c r="G104" i="27"/>
  <c r="F104" i="27"/>
  <c r="E104" i="27"/>
  <c r="D104" i="27"/>
  <c r="Q103" i="27"/>
  <c r="D103" i="27"/>
  <c r="G103" i="27"/>
  <c r="F103" i="27"/>
  <c r="E103" i="27"/>
  <c r="I103" i="27"/>
  <c r="H103" i="27"/>
  <c r="J103" i="27"/>
  <c r="Q102" i="27"/>
  <c r="I102" i="27"/>
  <c r="H102" i="27"/>
  <c r="J102" i="27"/>
  <c r="G102" i="27"/>
  <c r="F102" i="27"/>
  <c r="E102" i="27"/>
  <c r="D102" i="27"/>
  <c r="Q101" i="27"/>
  <c r="R101" i="27"/>
  <c r="I101" i="27"/>
  <c r="H101" i="27"/>
  <c r="J101" i="27"/>
  <c r="G101" i="27"/>
  <c r="F101" i="27"/>
  <c r="E101" i="27"/>
  <c r="D101" i="27"/>
  <c r="Q100" i="27"/>
  <c r="R100" i="27"/>
  <c r="I100" i="27"/>
  <c r="H100" i="27"/>
  <c r="J100" i="27"/>
  <c r="G100" i="27"/>
  <c r="F100" i="27"/>
  <c r="E100" i="27"/>
  <c r="D100" i="27"/>
  <c r="Q99" i="27"/>
  <c r="R99" i="27"/>
  <c r="D99" i="27"/>
  <c r="G99" i="27"/>
  <c r="F99" i="27"/>
  <c r="E99" i="27"/>
  <c r="I99" i="27"/>
  <c r="H99" i="27"/>
  <c r="Q98" i="27"/>
  <c r="I98" i="27"/>
  <c r="H98" i="27"/>
  <c r="J98" i="27"/>
  <c r="G98" i="27"/>
  <c r="F98" i="27"/>
  <c r="E98" i="27"/>
  <c r="D98" i="27"/>
  <c r="Q97" i="27"/>
  <c r="R97" i="27"/>
  <c r="I97" i="27"/>
  <c r="H97" i="27"/>
  <c r="J97" i="27"/>
  <c r="G97" i="27"/>
  <c r="F97" i="27"/>
  <c r="E97" i="27"/>
  <c r="D97" i="27"/>
  <c r="Q96" i="27"/>
  <c r="R96" i="27"/>
  <c r="I96" i="27"/>
  <c r="H96" i="27"/>
  <c r="J96" i="27"/>
  <c r="G96" i="27"/>
  <c r="F96" i="27"/>
  <c r="E96" i="27"/>
  <c r="D96" i="27"/>
  <c r="Q95" i="27"/>
  <c r="D95" i="27"/>
  <c r="G95" i="27"/>
  <c r="F95" i="27"/>
  <c r="E95" i="27"/>
  <c r="I95" i="27"/>
  <c r="H95" i="27"/>
  <c r="J95" i="27"/>
  <c r="Q94" i="27"/>
  <c r="R94" i="27"/>
  <c r="I94" i="27"/>
  <c r="H94" i="27"/>
  <c r="J94" i="27"/>
  <c r="G94" i="27"/>
  <c r="F94" i="27"/>
  <c r="E94" i="27"/>
  <c r="D94" i="27"/>
  <c r="Q93" i="27"/>
  <c r="R93" i="27"/>
  <c r="I93" i="27"/>
  <c r="H93" i="27"/>
  <c r="J93" i="27"/>
  <c r="G93" i="27"/>
  <c r="F93" i="27"/>
  <c r="E93" i="27"/>
  <c r="D93" i="27"/>
  <c r="Q92" i="27"/>
  <c r="R92" i="27"/>
  <c r="I92" i="27"/>
  <c r="H92" i="27"/>
  <c r="J92" i="27"/>
  <c r="G92" i="27"/>
  <c r="F92" i="27"/>
  <c r="E92" i="27"/>
  <c r="D92" i="27"/>
  <c r="Q91" i="27"/>
  <c r="R91" i="27"/>
  <c r="D91" i="27"/>
  <c r="G91" i="27"/>
  <c r="F91" i="27"/>
  <c r="E91" i="27"/>
  <c r="I91" i="27"/>
  <c r="H91" i="27"/>
  <c r="J91" i="27"/>
  <c r="R78" i="27"/>
  <c r="J78" i="27"/>
  <c r="T77" i="27"/>
  <c r="R77" i="27"/>
  <c r="J77" i="27"/>
  <c r="R76" i="27"/>
  <c r="J76" i="27"/>
  <c r="R75" i="27"/>
  <c r="R74" i="27"/>
  <c r="J74" i="27"/>
  <c r="R73" i="27"/>
  <c r="J73" i="27"/>
  <c r="R72" i="27"/>
  <c r="R71" i="27"/>
  <c r="J71" i="27"/>
  <c r="R70" i="27"/>
  <c r="R69" i="27"/>
  <c r="J69" i="27"/>
  <c r="R68" i="27"/>
  <c r="R67" i="27"/>
  <c r="J66" i="27"/>
  <c r="R65" i="27"/>
  <c r="T65" i="27"/>
  <c r="R64" i="27"/>
  <c r="J64" i="27"/>
  <c r="R63" i="27"/>
  <c r="J63" i="27"/>
  <c r="R62" i="27"/>
  <c r="R61" i="27"/>
  <c r="R60" i="27"/>
  <c r="J60" i="27"/>
  <c r="R59" i="27"/>
  <c r="J58" i="27"/>
  <c r="J57" i="27"/>
  <c r="J56" i="27"/>
  <c r="J55" i="27"/>
  <c r="J54" i="27"/>
  <c r="R53" i="27"/>
  <c r="J53" i="27"/>
  <c r="R52" i="27"/>
  <c r="J52" i="27"/>
  <c r="R51" i="27"/>
  <c r="T51" i="27"/>
  <c r="J51" i="27"/>
  <c r="J50" i="27"/>
  <c r="R49" i="27"/>
  <c r="J49" i="27"/>
  <c r="R48" i="27"/>
  <c r="J48" i="27"/>
  <c r="R47" i="27"/>
  <c r="J46" i="27"/>
  <c r="R45" i="27"/>
  <c r="T45" i="27"/>
  <c r="R44" i="27"/>
  <c r="J44" i="27"/>
  <c r="R43" i="27"/>
  <c r="J43" i="27"/>
  <c r="R42" i="27"/>
  <c r="J42" i="27"/>
  <c r="J41" i="27"/>
  <c r="R40" i="27"/>
  <c r="J40" i="27"/>
  <c r="R39" i="27"/>
  <c r="J39" i="27"/>
  <c r="R38" i="27"/>
  <c r="J38" i="27"/>
  <c r="R37" i="27"/>
  <c r="J37" i="27"/>
  <c r="R36" i="27"/>
  <c r="J36" i="27"/>
  <c r="R35" i="27"/>
  <c r="J35" i="27"/>
  <c r="R34" i="27"/>
  <c r="J34" i="27"/>
  <c r="R33" i="27"/>
  <c r="J33" i="27"/>
  <c r="R32" i="27"/>
  <c r="J32" i="27"/>
  <c r="R31" i="27"/>
  <c r="J31" i="27"/>
  <c r="R30" i="27"/>
  <c r="J30" i="27"/>
  <c r="J29" i="27"/>
  <c r="J28" i="27"/>
  <c r="R27" i="27"/>
  <c r="J27" i="27"/>
  <c r="J26" i="27"/>
  <c r="R25" i="27"/>
  <c r="T25" i="27"/>
  <c r="J25" i="27"/>
  <c r="J24" i="27"/>
  <c r="R23" i="27"/>
  <c r="R22" i="27"/>
  <c r="J22" i="27"/>
  <c r="J21" i="27"/>
  <c r="R20" i="27"/>
  <c r="J20" i="27"/>
  <c r="R19" i="27"/>
  <c r="R18" i="27"/>
  <c r="J18" i="27"/>
  <c r="R17" i="27"/>
  <c r="T17" i="27"/>
  <c r="J17" i="27"/>
  <c r="R16" i="27"/>
  <c r="J16" i="27"/>
  <c r="J15" i="27"/>
  <c r="J3" i="27"/>
  <c r="R3" i="27"/>
  <c r="R4" i="27"/>
  <c r="R6" i="27"/>
  <c r="R8" i="27"/>
  <c r="R9" i="27"/>
  <c r="R10" i="27"/>
  <c r="R12" i="27"/>
  <c r="R14" i="27"/>
  <c r="J4" i="27"/>
  <c r="J5" i="27"/>
  <c r="J6" i="27"/>
  <c r="J7" i="27"/>
  <c r="J8" i="27"/>
  <c r="J11" i="27"/>
  <c r="J12" i="27"/>
  <c r="J13" i="27"/>
  <c r="J14" i="27"/>
  <c r="C15" i="9"/>
  <c r="C39" i="9"/>
  <c r="C27" i="9"/>
  <c r="C3" i="9"/>
  <c r="C66" i="29"/>
  <c r="C65" i="29"/>
  <c r="C64" i="29"/>
  <c r="C63" i="29"/>
  <c r="B48" i="9"/>
  <c r="B43" i="9"/>
  <c r="B44" i="9"/>
  <c r="B45" i="9"/>
  <c r="B41" i="9"/>
  <c r="B17" i="9"/>
  <c r="B19" i="9"/>
  <c r="B20" i="9"/>
  <c r="B21" i="9"/>
  <c r="B24" i="9"/>
  <c r="B31" i="9"/>
  <c r="B32" i="9"/>
  <c r="B33" i="9"/>
  <c r="B36" i="9"/>
  <c r="B29" i="9"/>
  <c r="AC3" i="10"/>
  <c r="AC4" i="10"/>
  <c r="C66" i="25"/>
  <c r="C65" i="25"/>
  <c r="C64" i="25"/>
  <c r="C63" i="25"/>
  <c r="C66" i="20"/>
  <c r="C65" i="20"/>
  <c r="C64" i="20"/>
  <c r="C63" i="20"/>
  <c r="C66" i="27"/>
  <c r="C65" i="27"/>
  <c r="C64" i="27"/>
  <c r="C63" i="27"/>
  <c r="AD8" i="10"/>
  <c r="R26" i="27"/>
  <c r="R98" i="27"/>
  <c r="R87" i="29"/>
  <c r="R83" i="25"/>
  <c r="R63" i="29"/>
  <c r="R47" i="29"/>
  <c r="S73" i="29"/>
  <c r="J24" i="20"/>
  <c r="J105" i="29"/>
  <c r="J49" i="29"/>
  <c r="S66" i="27"/>
  <c r="R40" i="20"/>
  <c r="R92" i="20"/>
  <c r="R66" i="27"/>
  <c r="R24" i="27"/>
  <c r="R30" i="25"/>
  <c r="R56" i="27"/>
  <c r="R54" i="20"/>
  <c r="R44" i="20"/>
  <c r="T103" i="20"/>
  <c r="T75" i="20"/>
  <c r="S75" i="25"/>
  <c r="S87" i="29"/>
  <c r="T31" i="29"/>
  <c r="S101" i="29"/>
  <c r="S105" i="29"/>
  <c r="T60" i="27"/>
  <c r="T102" i="27"/>
  <c r="T29" i="27"/>
  <c r="T35" i="27"/>
  <c r="T55" i="27"/>
  <c r="S78" i="27"/>
  <c r="S35" i="29"/>
  <c r="T78" i="27"/>
  <c r="T82" i="27"/>
  <c r="S6" i="27"/>
  <c r="J65" i="29"/>
  <c r="S65" i="29"/>
  <c r="S96" i="20"/>
  <c r="S8" i="20"/>
  <c r="S74" i="27"/>
  <c r="T47" i="27"/>
  <c r="S27" i="20"/>
  <c r="T72" i="29"/>
  <c r="T69" i="29"/>
  <c r="S81" i="29"/>
  <c r="T13" i="27"/>
  <c r="S99" i="29"/>
  <c r="T89" i="29"/>
  <c r="T29" i="29"/>
  <c r="S42" i="20"/>
  <c r="T59" i="20"/>
  <c r="T39" i="20"/>
  <c r="T71" i="25"/>
  <c r="T51" i="25"/>
  <c r="R39" i="29"/>
  <c r="T101" i="20"/>
  <c r="S89" i="29"/>
  <c r="S49" i="29"/>
  <c r="T54" i="27"/>
  <c r="T106" i="27"/>
  <c r="T88" i="27"/>
  <c r="T84" i="29"/>
  <c r="T99" i="25"/>
  <c r="T5" i="27"/>
  <c r="T19" i="27"/>
  <c r="T33" i="27"/>
  <c r="T39" i="27"/>
  <c r="T59" i="27"/>
  <c r="T87" i="27"/>
  <c r="T97" i="20"/>
  <c r="S89" i="25"/>
  <c r="T81" i="29"/>
  <c r="T41" i="29"/>
  <c r="S105" i="25"/>
  <c r="T71" i="20"/>
  <c r="T51" i="20"/>
  <c r="T31" i="20"/>
  <c r="S51" i="20"/>
  <c r="S31" i="20"/>
  <c r="T22" i="27"/>
  <c r="T42" i="27"/>
  <c r="T39" i="29"/>
  <c r="T30" i="25"/>
  <c r="J77" i="29"/>
  <c r="T95" i="25"/>
  <c r="T21" i="27"/>
  <c r="T41" i="27"/>
  <c r="S57" i="20"/>
  <c r="T59" i="25"/>
  <c r="S30" i="29"/>
  <c r="S66" i="20"/>
  <c r="S12" i="20"/>
  <c r="T76" i="20"/>
  <c r="S76" i="27"/>
  <c r="S33" i="29"/>
  <c r="T56" i="27"/>
  <c r="T62" i="27"/>
  <c r="S78" i="25"/>
  <c r="S46" i="25"/>
  <c r="S100" i="29"/>
  <c r="S84" i="29"/>
  <c r="S70" i="29"/>
  <c r="S66" i="29"/>
  <c r="S54" i="29"/>
  <c r="I114" i="27"/>
  <c r="I114" i="25"/>
  <c r="I114" i="29"/>
  <c r="T57" i="20"/>
  <c r="I114" i="20"/>
  <c r="T44" i="20"/>
  <c r="S52" i="27"/>
  <c r="Q114" i="27"/>
  <c r="Q114" i="20"/>
  <c r="S79" i="27"/>
  <c r="Q114" i="25"/>
  <c r="Q114" i="29"/>
  <c r="T90" i="25"/>
  <c r="T44" i="25"/>
  <c r="T40" i="25"/>
  <c r="T36" i="25"/>
  <c r="T32" i="25"/>
  <c r="T28" i="25"/>
  <c r="T98" i="29"/>
  <c r="T94" i="29"/>
  <c r="T76" i="29"/>
  <c r="T68" i="29"/>
  <c r="T64" i="29"/>
  <c r="T60" i="29"/>
  <c r="T56" i="29"/>
  <c r="T52" i="29"/>
  <c r="T44" i="29"/>
  <c r="T100" i="27"/>
  <c r="T85" i="27"/>
  <c r="T83" i="27"/>
  <c r="T18" i="27"/>
  <c r="T28" i="27"/>
  <c r="T58" i="27"/>
  <c r="Q113" i="29"/>
  <c r="Q111" i="29"/>
  <c r="T70" i="27"/>
  <c r="Q109" i="20"/>
  <c r="Q112" i="29"/>
  <c r="S12" i="27"/>
  <c r="T36" i="27"/>
  <c r="Q109" i="25"/>
  <c r="T52" i="20"/>
  <c r="S69" i="27"/>
  <c r="S38" i="29"/>
  <c r="S36" i="29"/>
  <c r="T52" i="27"/>
  <c r="T94" i="27"/>
  <c r="T46" i="25"/>
  <c r="S73" i="27"/>
  <c r="T14" i="27"/>
  <c r="S45" i="27"/>
  <c r="S67" i="27"/>
  <c r="T106" i="20"/>
  <c r="T102" i="20"/>
  <c r="T98" i="20"/>
  <c r="T94" i="20"/>
  <c r="T74" i="20"/>
  <c r="T70" i="20"/>
  <c r="T66" i="20"/>
  <c r="T62" i="20"/>
  <c r="T58" i="20"/>
  <c r="T54" i="20"/>
  <c r="T50" i="20"/>
  <c r="T46" i="20"/>
  <c r="T42" i="20"/>
  <c r="T38" i="20"/>
  <c r="T34" i="20"/>
  <c r="T30" i="20"/>
  <c r="T104" i="25"/>
  <c r="T100" i="25"/>
  <c r="T96" i="25"/>
  <c r="T92" i="25"/>
  <c r="T54" i="25"/>
  <c r="T50" i="25"/>
  <c r="T104" i="29"/>
  <c r="T100" i="29"/>
  <c r="T88" i="25"/>
  <c r="T42" i="25"/>
  <c r="T34" i="25"/>
  <c r="T96" i="29"/>
  <c r="T92" i="29"/>
  <c r="T90" i="29"/>
  <c r="T86" i="29"/>
  <c r="T82" i="29"/>
  <c r="T78" i="29"/>
  <c r="T74" i="29"/>
  <c r="T66" i="29"/>
  <c r="T62" i="29"/>
  <c r="T58" i="29"/>
  <c r="T54" i="29"/>
  <c r="T50" i="29"/>
  <c r="T46" i="29"/>
  <c r="T38" i="27"/>
  <c r="T98" i="27"/>
  <c r="T12" i="27"/>
  <c r="T8" i="27"/>
  <c r="T4" i="27"/>
  <c r="T72" i="20"/>
  <c r="T68" i="20"/>
  <c r="T64" i="20"/>
  <c r="T60" i="20"/>
  <c r="T56" i="20"/>
  <c r="T48" i="20"/>
  <c r="T40" i="20"/>
  <c r="T36" i="20"/>
  <c r="T32" i="20"/>
  <c r="T28" i="20"/>
  <c r="T106" i="25"/>
  <c r="T102" i="25"/>
  <c r="T98" i="25"/>
  <c r="T94" i="25"/>
  <c r="T56" i="25"/>
  <c r="T48" i="25"/>
  <c r="T106" i="29"/>
  <c r="T102" i="29"/>
  <c r="T13" i="20"/>
  <c r="T9" i="20"/>
  <c r="T3" i="20"/>
  <c r="T67" i="27"/>
  <c r="T103" i="27"/>
  <c r="Q113" i="20"/>
  <c r="Q111" i="20"/>
  <c r="Q113" i="25"/>
  <c r="Q110" i="29"/>
  <c r="Q108" i="27"/>
  <c r="T26" i="27"/>
  <c r="T53" i="27"/>
  <c r="S59" i="27"/>
  <c r="S9" i="27"/>
  <c r="T48" i="27"/>
  <c r="S40" i="27"/>
  <c r="S44" i="27"/>
  <c r="S23" i="27"/>
  <c r="T57" i="27"/>
  <c r="R46" i="25"/>
  <c r="R66" i="29"/>
  <c r="S36" i="27"/>
  <c r="S34" i="27"/>
  <c r="T87" i="25"/>
  <c r="T83" i="25"/>
  <c r="T75" i="25"/>
  <c r="T45" i="25"/>
  <c r="T41" i="25"/>
  <c r="T37" i="25"/>
  <c r="T33" i="25"/>
  <c r="T95" i="29"/>
  <c r="S75" i="27"/>
  <c r="T104" i="20"/>
  <c r="T100" i="20"/>
  <c r="T96" i="20"/>
  <c r="T77" i="20"/>
  <c r="T73" i="20"/>
  <c r="T69" i="20"/>
  <c r="T65" i="20"/>
  <c r="T61" i="20"/>
  <c r="T22" i="20"/>
  <c r="T20" i="20"/>
  <c r="T18" i="20"/>
  <c r="T16" i="20"/>
  <c r="T108" i="20" s="1"/>
  <c r="G18" i="9" s="1"/>
  <c r="T10" i="20"/>
  <c r="S18" i="20"/>
  <c r="S14" i="20"/>
  <c r="T89" i="25"/>
  <c r="T85" i="25"/>
  <c r="T43" i="25"/>
  <c r="T39" i="25"/>
  <c r="T35" i="25"/>
  <c r="T31" i="25"/>
  <c r="Q109" i="27"/>
  <c r="Q110" i="27"/>
  <c r="T64" i="27"/>
  <c r="T91" i="27"/>
  <c r="S91" i="20"/>
  <c r="T41" i="20"/>
  <c r="T33" i="20"/>
  <c r="T29" i="20"/>
  <c r="S53" i="20"/>
  <c r="S41" i="20"/>
  <c r="S37" i="20"/>
  <c r="T105" i="25"/>
  <c r="T101" i="25"/>
  <c r="T97" i="25"/>
  <c r="T93" i="25"/>
  <c r="S99" i="25"/>
  <c r="T73" i="25"/>
  <c r="T65" i="25"/>
  <c r="T61" i="25"/>
  <c r="T57" i="25"/>
  <c r="T53" i="25"/>
  <c r="T49" i="25"/>
  <c r="T103" i="29"/>
  <c r="T87" i="29"/>
  <c r="T83" i="29"/>
  <c r="T79" i="29"/>
  <c r="T75" i="29"/>
  <c r="T71" i="29"/>
  <c r="T67" i="29"/>
  <c r="T59" i="29"/>
  <c r="T51" i="29"/>
  <c r="T47" i="29"/>
  <c r="S32" i="29"/>
  <c r="S72" i="25"/>
  <c r="S3" i="27"/>
  <c r="J51" i="20"/>
  <c r="S26" i="27"/>
  <c r="S44" i="29"/>
  <c r="J89" i="29"/>
  <c r="S22" i="27"/>
  <c r="S59" i="25"/>
  <c r="S27" i="27"/>
  <c r="S47" i="29"/>
  <c r="J91" i="25"/>
  <c r="S56" i="25"/>
  <c r="J89" i="25"/>
  <c r="S73" i="25"/>
  <c r="S86" i="25"/>
  <c r="S36" i="20"/>
  <c r="S31" i="27"/>
  <c r="S82" i="25"/>
  <c r="S24" i="27"/>
  <c r="S20" i="27"/>
  <c r="S59" i="29"/>
  <c r="S7" i="20"/>
  <c r="S51" i="27"/>
  <c r="S91" i="27"/>
  <c r="S76" i="25"/>
  <c r="T38" i="29"/>
  <c r="S64" i="27"/>
  <c r="J75" i="27"/>
  <c r="S11" i="20"/>
  <c r="S102" i="29"/>
  <c r="S56" i="27"/>
  <c r="S83" i="27"/>
  <c r="S89" i="27"/>
  <c r="S84" i="25"/>
  <c r="S98" i="27"/>
  <c r="S93" i="27"/>
  <c r="S97" i="25"/>
  <c r="J9" i="27"/>
  <c r="S35" i="20"/>
  <c r="S53" i="27"/>
  <c r="S63" i="29"/>
  <c r="J91" i="20"/>
  <c r="S59" i="20"/>
  <c r="S58" i="25"/>
  <c r="S96" i="27"/>
  <c r="S40" i="25"/>
  <c r="S36" i="25"/>
  <c r="J75" i="25"/>
  <c r="S5" i="20"/>
  <c r="S95" i="25"/>
  <c r="S95" i="29"/>
  <c r="S60" i="27"/>
  <c r="S50" i="25"/>
  <c r="S94" i="27"/>
  <c r="S37" i="27"/>
  <c r="J37" i="20"/>
  <c r="S43" i="27"/>
  <c r="T73" i="27"/>
  <c r="S39" i="27"/>
  <c r="S101" i="27"/>
  <c r="S94" i="20"/>
  <c r="S102" i="20"/>
  <c r="S60" i="25"/>
  <c r="S100" i="27"/>
  <c r="S88" i="27"/>
  <c r="S67" i="29"/>
  <c r="S71" i="29"/>
  <c r="J67" i="27"/>
  <c r="S93" i="25"/>
  <c r="S16" i="27"/>
  <c r="S54" i="25"/>
  <c r="S52" i="20"/>
  <c r="S30" i="27"/>
  <c r="J23" i="27"/>
  <c r="S87" i="25"/>
  <c r="J103" i="29"/>
  <c r="I107" i="27"/>
  <c r="T40" i="29"/>
  <c r="S38" i="27"/>
  <c r="S34" i="25"/>
  <c r="S58" i="20"/>
  <c r="S30" i="25"/>
  <c r="S49" i="27"/>
  <c r="S45" i="20"/>
  <c r="J99" i="25"/>
  <c r="T3" i="27"/>
  <c r="S17" i="27"/>
  <c r="S48" i="27"/>
  <c r="T7" i="20"/>
  <c r="T5" i="20"/>
  <c r="T107" i="20" s="1"/>
  <c r="G17" i="9" s="1"/>
  <c r="S14" i="27"/>
  <c r="S19" i="20"/>
  <c r="S90" i="27"/>
  <c r="S13" i="20"/>
  <c r="S63" i="27"/>
  <c r="J45" i="27"/>
  <c r="J109" i="27"/>
  <c r="J59" i="27"/>
  <c r="S49" i="20"/>
  <c r="S71" i="25"/>
  <c r="S61" i="20"/>
  <c r="T79" i="27"/>
  <c r="S47" i="25"/>
  <c r="S45" i="25"/>
  <c r="S35" i="25"/>
  <c r="S44" i="25"/>
  <c r="S62" i="25"/>
  <c r="S64" i="25"/>
  <c r="S15" i="20"/>
  <c r="S23" i="20"/>
  <c r="S105" i="27"/>
  <c r="S93" i="20"/>
  <c r="S97" i="20"/>
  <c r="S25" i="27"/>
  <c r="S97" i="27"/>
  <c r="S20" i="20"/>
  <c r="J101" i="29"/>
  <c r="S76" i="20"/>
  <c r="S64" i="20"/>
  <c r="S54" i="20"/>
  <c r="S48" i="20"/>
  <c r="S44" i="20"/>
  <c r="S40" i="20"/>
  <c r="S30" i="20"/>
  <c r="T84" i="25"/>
  <c r="T76" i="25"/>
  <c r="T66" i="25"/>
  <c r="S34" i="29"/>
  <c r="S98" i="29"/>
  <c r="S31" i="29"/>
  <c r="T101" i="29"/>
  <c r="T99" i="29"/>
  <c r="S82" i="29"/>
  <c r="R100" i="29"/>
  <c r="S97" i="29"/>
  <c r="S41" i="29"/>
  <c r="S56" i="29"/>
  <c r="R70" i="29"/>
  <c r="S91" i="29"/>
  <c r="J79" i="29"/>
  <c r="S79" i="29"/>
  <c r="R96" i="29"/>
  <c r="S96" i="29"/>
  <c r="S94" i="29"/>
  <c r="R94" i="29"/>
  <c r="S90" i="29"/>
  <c r="R90" i="29"/>
  <c r="S76" i="29"/>
  <c r="R76" i="29"/>
  <c r="R72" i="29"/>
  <c r="S72" i="29"/>
  <c r="R64" i="29"/>
  <c r="S64" i="29"/>
  <c r="S58" i="29"/>
  <c r="R50" i="29"/>
  <c r="S50" i="29"/>
  <c r="R48" i="29"/>
  <c r="S48" i="29"/>
  <c r="R46" i="29"/>
  <c r="R109" i="29"/>
  <c r="S46" i="29"/>
  <c r="T42" i="29"/>
  <c r="T32" i="29"/>
  <c r="T30" i="29"/>
  <c r="Q115" i="29"/>
  <c r="Q109" i="29"/>
  <c r="J106" i="29"/>
  <c r="S106" i="29"/>
  <c r="T27" i="29"/>
  <c r="I115" i="29"/>
  <c r="J28" i="29"/>
  <c r="S28" i="29"/>
  <c r="R54" i="29"/>
  <c r="S78" i="29"/>
  <c r="R84" i="29"/>
  <c r="T36" i="29"/>
  <c r="I109" i="29"/>
  <c r="T97" i="29"/>
  <c r="T80" i="29"/>
  <c r="I112" i="29"/>
  <c r="J69" i="29"/>
  <c r="J111" i="29"/>
  <c r="S69" i="29"/>
  <c r="S92" i="29"/>
  <c r="R92" i="29"/>
  <c r="R86" i="29"/>
  <c r="S86" i="29"/>
  <c r="S74" i="29"/>
  <c r="R74" i="29"/>
  <c r="S68" i="29"/>
  <c r="R68" i="29"/>
  <c r="R62" i="29"/>
  <c r="S62" i="29"/>
  <c r="R60" i="29"/>
  <c r="S60" i="29"/>
  <c r="S52" i="29"/>
  <c r="R52" i="29"/>
  <c r="T34" i="29"/>
  <c r="S88" i="29"/>
  <c r="S80" i="29"/>
  <c r="J61" i="29"/>
  <c r="S61" i="29"/>
  <c r="T28" i="29"/>
  <c r="R82" i="29"/>
  <c r="R58" i="29"/>
  <c r="S57" i="29"/>
  <c r="J99" i="29"/>
  <c r="S55" i="29"/>
  <c r="T63" i="29"/>
  <c r="I111" i="29"/>
  <c r="I110" i="29"/>
  <c r="T48" i="29"/>
  <c r="J104" i="29"/>
  <c r="S104" i="29"/>
  <c r="J83" i="29"/>
  <c r="S83" i="29"/>
  <c r="S43" i="29"/>
  <c r="J43" i="29"/>
  <c r="J40" i="29"/>
  <c r="S40" i="29"/>
  <c r="J37" i="29"/>
  <c r="S37" i="29"/>
  <c r="J27" i="29"/>
  <c r="S27" i="29"/>
  <c r="T91" i="29"/>
  <c r="I113" i="29"/>
  <c r="S53" i="29"/>
  <c r="J53" i="29"/>
  <c r="J51" i="29"/>
  <c r="S51" i="29"/>
  <c r="J42" i="29"/>
  <c r="S42" i="29"/>
  <c r="S29" i="29"/>
  <c r="J29" i="29"/>
  <c r="T57" i="29"/>
  <c r="T49" i="29"/>
  <c r="S85" i="29"/>
  <c r="T86" i="25"/>
  <c r="S57" i="25"/>
  <c r="S55" i="25"/>
  <c r="S32" i="25"/>
  <c r="S79" i="25"/>
  <c r="T27" i="25"/>
  <c r="I111" i="25"/>
  <c r="I115" i="25"/>
  <c r="R57" i="25"/>
  <c r="R55" i="25"/>
  <c r="S65" i="25"/>
  <c r="S48" i="25"/>
  <c r="S69" i="25"/>
  <c r="S63" i="25"/>
  <c r="T82" i="25"/>
  <c r="T62" i="25"/>
  <c r="S42" i="25"/>
  <c r="S77" i="25"/>
  <c r="S61" i="25"/>
  <c r="S67" i="25"/>
  <c r="J103" i="25"/>
  <c r="S103" i="25"/>
  <c r="T81" i="25"/>
  <c r="I112" i="25"/>
  <c r="J74" i="25"/>
  <c r="S74" i="25"/>
  <c r="R106" i="25"/>
  <c r="S106" i="25"/>
  <c r="R104" i="25"/>
  <c r="S104" i="25"/>
  <c r="S92" i="25"/>
  <c r="R92" i="25"/>
  <c r="S90" i="25"/>
  <c r="T80" i="25"/>
  <c r="Q112" i="25"/>
  <c r="T74" i="25"/>
  <c r="T70" i="25"/>
  <c r="T68" i="25"/>
  <c r="T64" i="25"/>
  <c r="Q111" i="25"/>
  <c r="Q115" i="25"/>
  <c r="Q110" i="25"/>
  <c r="R53" i="25"/>
  <c r="S53" i="25"/>
  <c r="R27" i="25"/>
  <c r="S27" i="25"/>
  <c r="R111" i="25"/>
  <c r="T58" i="25"/>
  <c r="R90" i="25"/>
  <c r="S51" i="25"/>
  <c r="S41" i="25"/>
  <c r="R35" i="25"/>
  <c r="I109" i="25"/>
  <c r="T29" i="25"/>
  <c r="J68" i="25"/>
  <c r="S68" i="25"/>
  <c r="J66" i="25"/>
  <c r="S66" i="25"/>
  <c r="R47" i="25"/>
  <c r="J38" i="25"/>
  <c r="S38" i="25"/>
  <c r="J28" i="25"/>
  <c r="S28" i="25"/>
  <c r="T52" i="25"/>
  <c r="I110" i="25"/>
  <c r="R102" i="25"/>
  <c r="S102" i="25"/>
  <c r="S100" i="25"/>
  <c r="S98" i="25"/>
  <c r="T78" i="25"/>
  <c r="T72" i="25"/>
  <c r="T60" i="25"/>
  <c r="R39" i="25"/>
  <c r="S39" i="25"/>
  <c r="R37" i="25"/>
  <c r="S37" i="25"/>
  <c r="S31" i="25"/>
  <c r="R31" i="25"/>
  <c r="S29" i="25"/>
  <c r="R29" i="25"/>
  <c r="S94" i="25"/>
  <c r="S96" i="25"/>
  <c r="S33" i="25"/>
  <c r="I113" i="25"/>
  <c r="T91" i="25"/>
  <c r="J80" i="25"/>
  <c r="S80" i="25"/>
  <c r="J70" i="25"/>
  <c r="S70" i="25"/>
  <c r="R100" i="25"/>
  <c r="R98" i="25"/>
  <c r="T38" i="25"/>
  <c r="S49" i="25"/>
  <c r="J88" i="25"/>
  <c r="S88" i="25"/>
  <c r="J85" i="25"/>
  <c r="S85" i="25"/>
  <c r="J52" i="25"/>
  <c r="J110" i="25"/>
  <c r="S52" i="25"/>
  <c r="T77" i="25"/>
  <c r="S83" i="25"/>
  <c r="Q107" i="27"/>
  <c r="S18" i="27"/>
  <c r="Q112" i="27"/>
  <c r="S80" i="27"/>
  <c r="S106" i="27"/>
  <c r="T7" i="27"/>
  <c r="T10" i="27"/>
  <c r="I110" i="27"/>
  <c r="R57" i="27"/>
  <c r="S57" i="27"/>
  <c r="I113" i="27"/>
  <c r="T104" i="27"/>
  <c r="J82" i="27"/>
  <c r="S82" i="27"/>
  <c r="R7" i="27"/>
  <c r="S7" i="27"/>
  <c r="T68" i="27"/>
  <c r="S32" i="27"/>
  <c r="T23" i="27"/>
  <c r="T66" i="27"/>
  <c r="J72" i="27"/>
  <c r="S72" i="27"/>
  <c r="Q113" i="27"/>
  <c r="R81" i="27"/>
  <c r="S81" i="27"/>
  <c r="I112" i="27"/>
  <c r="T11" i="27"/>
  <c r="S35" i="27"/>
  <c r="J62" i="27"/>
  <c r="S62" i="27"/>
  <c r="S4" i="27"/>
  <c r="S92" i="27"/>
  <c r="S87" i="27"/>
  <c r="R29" i="27"/>
  <c r="S29" i="27"/>
  <c r="T30" i="27"/>
  <c r="T34" i="27"/>
  <c r="S41" i="27"/>
  <c r="T49" i="27"/>
  <c r="R58" i="27"/>
  <c r="S58" i="27"/>
  <c r="S65" i="27"/>
  <c r="J65" i="27"/>
  <c r="S42" i="27"/>
  <c r="T44" i="27"/>
  <c r="T92" i="27"/>
  <c r="T81" i="27"/>
  <c r="R111" i="27"/>
  <c r="I109" i="27"/>
  <c r="T27" i="27"/>
  <c r="J70" i="27"/>
  <c r="S70" i="27"/>
  <c r="J85" i="27"/>
  <c r="S85" i="27"/>
  <c r="S77" i="27"/>
  <c r="I108" i="27"/>
  <c r="R46" i="27"/>
  <c r="S46" i="27"/>
  <c r="J61" i="27"/>
  <c r="S61" i="27"/>
  <c r="T63" i="27"/>
  <c r="I111" i="27"/>
  <c r="J68" i="27"/>
  <c r="S68" i="27"/>
  <c r="T93" i="27"/>
  <c r="T95" i="27"/>
  <c r="R84" i="27"/>
  <c r="S84" i="27"/>
  <c r="T31" i="27"/>
  <c r="T105" i="27"/>
  <c r="T37" i="27"/>
  <c r="Q115" i="27"/>
  <c r="Q111" i="27"/>
  <c r="S33" i="27"/>
  <c r="S8" i="27"/>
  <c r="R41" i="27"/>
  <c r="S86" i="27"/>
  <c r="R28" i="27"/>
  <c r="S28" i="27"/>
  <c r="S54" i="27"/>
  <c r="R54" i="27"/>
  <c r="T71" i="27"/>
  <c r="J104" i="27"/>
  <c r="S104" i="27"/>
  <c r="T80" i="27"/>
  <c r="S47" i="27"/>
  <c r="J47" i="27"/>
  <c r="I115" i="27"/>
  <c r="R5" i="27"/>
  <c r="S5" i="27"/>
  <c r="J19" i="27"/>
  <c r="S19" i="27"/>
  <c r="R50" i="27"/>
  <c r="S50" i="27"/>
  <c r="T74" i="27"/>
  <c r="R95" i="27"/>
  <c r="S95" i="27"/>
  <c r="R103" i="27"/>
  <c r="S103" i="27"/>
  <c r="T99" i="27"/>
  <c r="T89" i="27"/>
  <c r="T40" i="27"/>
  <c r="T46" i="27"/>
  <c r="T50" i="27"/>
  <c r="T76" i="27"/>
  <c r="T96" i="27"/>
  <c r="T97" i="27"/>
  <c r="T86" i="27"/>
  <c r="T32" i="27"/>
  <c r="T69" i="27"/>
  <c r="S71" i="27"/>
  <c r="R48" i="20"/>
  <c r="S60" i="20"/>
  <c r="S70" i="20"/>
  <c r="S4" i="20"/>
  <c r="R20" i="20"/>
  <c r="J14" i="20"/>
  <c r="S10" i="20"/>
  <c r="S39" i="20"/>
  <c r="S43" i="20"/>
  <c r="T91" i="20"/>
  <c r="I111" i="20"/>
  <c r="T23" i="20"/>
  <c r="T19" i="20"/>
  <c r="T17" i="20"/>
  <c r="T53" i="20"/>
  <c r="S72" i="20"/>
  <c r="S32" i="20"/>
  <c r="S50" i="20"/>
  <c r="S56" i="20"/>
  <c r="S74" i="20"/>
  <c r="J18" i="20"/>
  <c r="S105" i="20"/>
  <c r="S55" i="20"/>
  <c r="S100" i="20"/>
  <c r="S67" i="20"/>
  <c r="S62" i="20"/>
  <c r="S68" i="20"/>
  <c r="S78" i="20"/>
  <c r="S99" i="20"/>
  <c r="S29" i="20"/>
  <c r="S103" i="20"/>
  <c r="T26" i="20"/>
  <c r="T14" i="20"/>
  <c r="T6" i="20"/>
  <c r="J92" i="20"/>
  <c r="S92" i="20"/>
  <c r="T25" i="20"/>
  <c r="T21" i="20"/>
  <c r="J38" i="20"/>
  <c r="S38" i="20"/>
  <c r="R26" i="20"/>
  <c r="S26" i="20"/>
  <c r="J21" i="20"/>
  <c r="S21" i="20"/>
  <c r="R34" i="20"/>
  <c r="S34" i="20"/>
  <c r="S98" i="20"/>
  <c r="S95" i="20"/>
  <c r="J95" i="20"/>
  <c r="I110" i="20"/>
  <c r="I108" i="20"/>
  <c r="R24" i="20"/>
  <c r="S24" i="20"/>
  <c r="J22" i="20"/>
  <c r="S22" i="20"/>
  <c r="R3" i="20"/>
  <c r="S3" i="20"/>
  <c r="R67" i="20"/>
  <c r="T49" i="20"/>
  <c r="T47" i="20"/>
  <c r="T110" i="20" s="1"/>
  <c r="G20" i="9" s="1"/>
  <c r="Q110" i="20"/>
  <c r="T45" i="20"/>
  <c r="T35" i="20"/>
  <c r="Q115" i="20"/>
  <c r="S28" i="20"/>
  <c r="S16" i="20"/>
  <c r="T93" i="20"/>
  <c r="I113" i="20"/>
  <c r="T4" i="20"/>
  <c r="I107" i="20"/>
  <c r="I115" i="20"/>
  <c r="J33" i="20"/>
  <c r="S33" i="20"/>
  <c r="R6" i="20"/>
  <c r="S6" i="20"/>
  <c r="R106" i="20"/>
  <c r="S106" i="20"/>
  <c r="S104" i="20"/>
  <c r="R104" i="20"/>
  <c r="T92" i="20"/>
  <c r="T78" i="20"/>
  <c r="R75" i="20"/>
  <c r="S75" i="20"/>
  <c r="R73" i="20"/>
  <c r="S73" i="20"/>
  <c r="R63" i="20"/>
  <c r="S63" i="20"/>
  <c r="Q108" i="20"/>
  <c r="R30" i="20"/>
  <c r="I109" i="20"/>
  <c r="Q107" i="20"/>
  <c r="T8" i="20"/>
  <c r="J46" i="20"/>
  <c r="S46" i="20"/>
  <c r="R25" i="20"/>
  <c r="S25" i="20"/>
  <c r="R9" i="20"/>
  <c r="S9" i="20"/>
  <c r="T37" i="20"/>
  <c r="T43" i="20"/>
  <c r="T12" i="20"/>
  <c r="S17" i="20"/>
  <c r="T55" i="20"/>
  <c r="S47" i="20"/>
  <c r="J47" i="20"/>
  <c r="AC5" i="10"/>
  <c r="J65" i="20"/>
  <c r="J111" i="20"/>
  <c r="S65" i="20"/>
  <c r="R11" i="27"/>
  <c r="S11" i="27"/>
  <c r="R15" i="27"/>
  <c r="S15" i="27"/>
  <c r="S99" i="27"/>
  <c r="J99" i="27"/>
  <c r="R13" i="27"/>
  <c r="S13" i="27"/>
  <c r="T6" i="27"/>
  <c r="T24" i="27"/>
  <c r="T101" i="27"/>
  <c r="R77" i="20"/>
  <c r="S77" i="20"/>
  <c r="S101" i="25"/>
  <c r="R21" i="27"/>
  <c r="S21" i="27"/>
  <c r="R55" i="27"/>
  <c r="S55" i="27"/>
  <c r="T61" i="27"/>
  <c r="T75" i="27"/>
  <c r="R102" i="27"/>
  <c r="S102" i="27"/>
  <c r="T24" i="20"/>
  <c r="S71" i="20"/>
  <c r="S69" i="20"/>
  <c r="T15" i="27"/>
  <c r="T16" i="27"/>
  <c r="T72" i="27"/>
  <c r="T84" i="27"/>
  <c r="S43" i="25"/>
  <c r="J43" i="25"/>
  <c r="T9" i="27"/>
  <c r="J10" i="27"/>
  <c r="S10" i="27"/>
  <c r="T20" i="27"/>
  <c r="T43" i="27"/>
  <c r="J101" i="20"/>
  <c r="S101" i="20"/>
  <c r="T15" i="20"/>
  <c r="T11" i="20"/>
  <c r="T55" i="29"/>
  <c r="T53" i="29"/>
  <c r="T61" i="29"/>
  <c r="T79" i="25"/>
  <c r="T69" i="25"/>
  <c r="S93" i="29"/>
  <c r="R93" i="29"/>
  <c r="R75" i="29"/>
  <c r="S75" i="29"/>
  <c r="R81" i="25"/>
  <c r="S81" i="25"/>
  <c r="T70" i="29"/>
  <c r="S45" i="29"/>
  <c r="J45" i="29"/>
  <c r="J114" i="27"/>
  <c r="J114" i="25"/>
  <c r="J108" i="27"/>
  <c r="J112" i="27"/>
  <c r="T114" i="27"/>
  <c r="G10" i="9"/>
  <c r="S114" i="27"/>
  <c r="F10" i="9"/>
  <c r="J113" i="27"/>
  <c r="J114" i="29"/>
  <c r="R114" i="25"/>
  <c r="S114" i="29"/>
  <c r="F46" i="9"/>
  <c r="S114" i="25"/>
  <c r="F34" i="9"/>
  <c r="T114" i="25"/>
  <c r="G34" i="9"/>
  <c r="T114" i="29"/>
  <c r="G46" i="9"/>
  <c r="R114" i="29"/>
  <c r="R114" i="27"/>
  <c r="T113" i="25"/>
  <c r="G36" i="9"/>
  <c r="T112" i="29"/>
  <c r="G45" i="9"/>
  <c r="J113" i="25"/>
  <c r="S113" i="29"/>
  <c r="F48" i="9"/>
  <c r="T110" i="27"/>
  <c r="G8" i="9"/>
  <c r="T111" i="29"/>
  <c r="G47" i="9"/>
  <c r="J110" i="27"/>
  <c r="S112" i="27"/>
  <c r="F9" i="9"/>
  <c r="S113" i="20"/>
  <c r="F24" i="9"/>
  <c r="S110" i="27"/>
  <c r="F8" i="9"/>
  <c r="T113" i="20"/>
  <c r="G24" i="9"/>
  <c r="S110" i="25"/>
  <c r="F32" i="9"/>
  <c r="J112" i="25"/>
  <c r="J111" i="25"/>
  <c r="Q116" i="25"/>
  <c r="Q116" i="29"/>
  <c r="J110" i="29"/>
  <c r="R110" i="29"/>
  <c r="J112" i="29"/>
  <c r="S111" i="29"/>
  <c r="F47" i="9"/>
  <c r="T113" i="29"/>
  <c r="G48" i="9"/>
  <c r="J113" i="29"/>
  <c r="S112" i="29"/>
  <c r="F45" i="9"/>
  <c r="R112" i="29"/>
  <c r="T109" i="29"/>
  <c r="G43" i="9"/>
  <c r="S110" i="29"/>
  <c r="F44" i="9"/>
  <c r="S111" i="25"/>
  <c r="F35" i="9"/>
  <c r="S112" i="25"/>
  <c r="F33" i="9"/>
  <c r="T112" i="25"/>
  <c r="G33" i="9"/>
  <c r="T110" i="25"/>
  <c r="G32" i="9"/>
  <c r="R115" i="25"/>
  <c r="S113" i="25"/>
  <c r="F36" i="9"/>
  <c r="R113" i="25"/>
  <c r="R110" i="25"/>
  <c r="R109" i="25"/>
  <c r="T109" i="25"/>
  <c r="G31" i="9"/>
  <c r="R109" i="27"/>
  <c r="S109" i="27"/>
  <c r="F7" i="9"/>
  <c r="J111" i="27"/>
  <c r="S111" i="27"/>
  <c r="F11" i="9"/>
  <c r="T109" i="27"/>
  <c r="G7" i="9"/>
  <c r="T112" i="27"/>
  <c r="G9" i="9"/>
  <c r="Q116" i="27"/>
  <c r="T113" i="27"/>
  <c r="G12" i="9"/>
  <c r="R112" i="27"/>
  <c r="J108" i="20"/>
  <c r="S109" i="29"/>
  <c r="F43" i="9"/>
  <c r="T111" i="25"/>
  <c r="G35" i="9"/>
  <c r="J107" i="27"/>
  <c r="J115" i="27"/>
  <c r="AC6" i="10"/>
  <c r="R115" i="29"/>
  <c r="R111" i="29"/>
  <c r="S113" i="27"/>
  <c r="F12" i="9"/>
  <c r="R115" i="27"/>
  <c r="R107" i="27"/>
  <c r="S109" i="25"/>
  <c r="F31" i="9"/>
  <c r="R113" i="29"/>
  <c r="T110" i="29"/>
  <c r="G44" i="9"/>
  <c r="J115" i="25"/>
  <c r="T111" i="27"/>
  <c r="G11" i="9"/>
  <c r="T108" i="27"/>
  <c r="G6" i="9"/>
  <c r="R113" i="27"/>
  <c r="R110" i="27"/>
  <c r="T107" i="27"/>
  <c r="G5" i="9"/>
  <c r="S108" i="27"/>
  <c r="F6" i="9"/>
  <c r="J109" i="25"/>
  <c r="J109" i="29"/>
  <c r="J115" i="29"/>
  <c r="R112" i="25"/>
  <c r="S107" i="27"/>
  <c r="F5" i="9"/>
  <c r="R108" i="27"/>
  <c r="R116" i="25"/>
  <c r="R116" i="27"/>
  <c r="R116" i="29"/>
  <c r="W43" i="30"/>
  <c r="Y27" i="30"/>
  <c r="V63" i="27"/>
  <c r="AA23" i="27"/>
  <c r="Z87" i="27"/>
  <c r="V103" i="20"/>
  <c r="W71" i="25"/>
  <c r="Y79" i="25"/>
  <c r="X43" i="30"/>
  <c r="Z43" i="30"/>
  <c r="W3" i="27"/>
  <c r="Z31" i="27"/>
  <c r="AA95" i="27"/>
  <c r="AA43" i="30"/>
  <c r="V83" i="27"/>
  <c r="Y51" i="27"/>
  <c r="W91" i="25"/>
  <c r="X91" i="25"/>
  <c r="X43" i="29"/>
  <c r="V43" i="30"/>
  <c r="W35" i="27"/>
  <c r="Z3" i="27"/>
  <c r="Y63" i="25"/>
  <c r="V55" i="25"/>
  <c r="V43" i="29"/>
  <c r="V103" i="29"/>
  <c r="W79" i="29"/>
  <c r="V71" i="27"/>
  <c r="X59" i="25"/>
  <c r="Z39" i="29"/>
  <c r="X39" i="29"/>
  <c r="Z103" i="27"/>
  <c r="Y47" i="25"/>
  <c r="Y87" i="29"/>
  <c r="Y59" i="29"/>
  <c r="V19" i="27"/>
  <c r="Z75" i="25"/>
  <c r="AA27" i="29"/>
  <c r="W103" i="29"/>
  <c r="X75" i="29"/>
  <c r="Z63" i="30"/>
  <c r="AA55" i="30"/>
  <c r="V87" i="25"/>
  <c r="V71" i="30"/>
  <c r="AA3" i="27"/>
  <c r="X91" i="27"/>
  <c r="Z75" i="30"/>
  <c r="Z67" i="30"/>
  <c r="Z67" i="20"/>
  <c r="V79" i="20"/>
  <c r="W79" i="20"/>
  <c r="Z55" i="20"/>
  <c r="X71" i="20"/>
  <c r="X83" i="20"/>
  <c r="W15" i="20"/>
  <c r="Z11" i="20"/>
  <c r="AA3" i="20"/>
  <c r="Y31" i="20"/>
  <c r="Z27" i="20"/>
  <c r="Z43" i="20"/>
  <c r="V27" i="27"/>
  <c r="W67" i="27"/>
  <c r="W31" i="30"/>
  <c r="Z103" i="20"/>
  <c r="Z47" i="29"/>
  <c r="Z79" i="30"/>
  <c r="V43" i="20"/>
  <c r="V23" i="30"/>
  <c r="Y43" i="30"/>
  <c r="V79" i="27"/>
  <c r="Y35" i="27"/>
  <c r="V91" i="27"/>
  <c r="Y91" i="20"/>
  <c r="W27" i="25"/>
  <c r="X95" i="25"/>
  <c r="W23" i="30"/>
  <c r="Y15" i="30"/>
  <c r="X67" i="27"/>
  <c r="Z83" i="27"/>
  <c r="W103" i="27"/>
  <c r="Z31" i="30"/>
  <c r="V43" i="27"/>
  <c r="AA43" i="27"/>
  <c r="V31" i="25"/>
  <c r="Z91" i="25"/>
  <c r="X47" i="29"/>
  <c r="W39" i="30"/>
  <c r="X75" i="27"/>
  <c r="Y43" i="27"/>
  <c r="W59" i="25"/>
  <c r="AA27" i="25"/>
  <c r="AA55" i="29"/>
  <c r="AA99" i="29"/>
  <c r="AA43" i="29"/>
  <c r="W27" i="27"/>
  <c r="AA99" i="25"/>
  <c r="W27" i="29"/>
  <c r="W35" i="29"/>
  <c r="Y67" i="27"/>
  <c r="AA87" i="25"/>
  <c r="Z51" i="29"/>
  <c r="Y31" i="29"/>
  <c r="W99" i="27"/>
  <c r="X103" i="25"/>
  <c r="X35" i="29"/>
  <c r="AA31" i="29"/>
  <c r="W95" i="29"/>
  <c r="V79" i="30"/>
  <c r="X87" i="30"/>
  <c r="V67" i="29"/>
  <c r="Y47" i="30"/>
  <c r="X47" i="25"/>
  <c r="AA75" i="25"/>
  <c r="X71" i="30"/>
  <c r="AA47" i="30"/>
  <c r="Y59" i="20"/>
  <c r="X59" i="20"/>
  <c r="V67" i="20"/>
  <c r="W71" i="20"/>
  <c r="Y83" i="20"/>
  <c r="X67" i="20"/>
  <c r="W19" i="20"/>
  <c r="V15" i="20"/>
  <c r="X3" i="20"/>
  <c r="AA35" i="20"/>
  <c r="Z35" i="20"/>
  <c r="Y23" i="20"/>
  <c r="AA19" i="20"/>
  <c r="X27" i="20"/>
  <c r="W35" i="20"/>
  <c r="V23" i="20"/>
  <c r="W19" i="30"/>
  <c r="AA55" i="25"/>
  <c r="W71" i="29"/>
  <c r="W59" i="30"/>
  <c r="Z59" i="20"/>
  <c r="X3" i="30"/>
  <c r="Y103" i="30"/>
  <c r="V39" i="27"/>
  <c r="Y99" i="27"/>
  <c r="Z67" i="27"/>
  <c r="AA99" i="20"/>
  <c r="Y31" i="25"/>
  <c r="W83" i="25"/>
  <c r="V7" i="30"/>
  <c r="Y31" i="30"/>
  <c r="X3" i="27"/>
  <c r="Z19" i="27"/>
  <c r="AA75" i="27"/>
  <c r="Y19" i="30"/>
  <c r="V103" i="27"/>
  <c r="Z95" i="20"/>
  <c r="V95" i="25"/>
  <c r="Z55" i="25"/>
  <c r="X91" i="29"/>
  <c r="AA15" i="30"/>
  <c r="V51" i="27"/>
  <c r="X103" i="27"/>
  <c r="Z87" i="25"/>
  <c r="Z67" i="25"/>
  <c r="Z91" i="29"/>
  <c r="AA83" i="29"/>
  <c r="Y79" i="29"/>
  <c r="Y7" i="27"/>
  <c r="AA71" i="25"/>
  <c r="W51" i="29"/>
  <c r="V79" i="29"/>
  <c r="Y39" i="27"/>
  <c r="AA95" i="25"/>
  <c r="X55" i="29"/>
  <c r="Y91" i="29"/>
  <c r="Y83" i="27"/>
  <c r="Z71" i="25"/>
  <c r="X95" i="29"/>
  <c r="V39" i="30"/>
  <c r="X51" i="29"/>
  <c r="X83" i="30"/>
  <c r="V83" i="30"/>
  <c r="AA59" i="29"/>
  <c r="Y75" i="30"/>
  <c r="W99" i="25"/>
  <c r="AA47" i="25"/>
  <c r="AA75" i="30"/>
  <c r="X75" i="30"/>
  <c r="Y47" i="20"/>
  <c r="V47" i="20"/>
  <c r="Y75" i="20"/>
  <c r="W63" i="20"/>
  <c r="Y71" i="20"/>
  <c r="AA83" i="20"/>
  <c r="W23" i="20"/>
  <c r="AA39" i="20"/>
  <c r="Y43" i="20"/>
  <c r="Y19" i="20"/>
  <c r="X27" i="25"/>
  <c r="Z27" i="27"/>
  <c r="V39" i="29"/>
  <c r="W63" i="29"/>
  <c r="Z83" i="25"/>
  <c r="V63" i="20"/>
  <c r="W3" i="30"/>
  <c r="AA99" i="30"/>
  <c r="W83" i="27"/>
  <c r="AA59" i="27"/>
  <c r="Y75" i="27"/>
  <c r="W99" i="20"/>
  <c r="X43" i="25"/>
  <c r="AA31" i="25"/>
  <c r="V27" i="30"/>
  <c r="AA91" i="30"/>
  <c r="V67" i="27"/>
  <c r="Y103" i="27"/>
  <c r="Y27" i="27"/>
  <c r="W95" i="30"/>
  <c r="Z55" i="27"/>
  <c r="X95" i="20"/>
  <c r="Y39" i="25"/>
  <c r="Y83" i="29"/>
  <c r="V63" i="29"/>
  <c r="Z3" i="30"/>
  <c r="V35" i="27"/>
  <c r="Z35" i="27"/>
  <c r="Y71" i="25"/>
  <c r="W39" i="25"/>
  <c r="Z35" i="29"/>
  <c r="X103" i="29"/>
  <c r="W7" i="30"/>
  <c r="Y31" i="27"/>
  <c r="X75" i="25"/>
  <c r="AA91" i="29"/>
  <c r="V83" i="29"/>
  <c r="AA87" i="27"/>
  <c r="AA83" i="25"/>
  <c r="Y99" i="29"/>
  <c r="Y51" i="29"/>
  <c r="Y95" i="27"/>
  <c r="Z59" i="25"/>
  <c r="V55" i="29"/>
  <c r="W75" i="27"/>
  <c r="W55" i="30"/>
  <c r="W51" i="30"/>
  <c r="Z47" i="30"/>
  <c r="Y67" i="29"/>
  <c r="Z51" i="30"/>
  <c r="AA51" i="29"/>
  <c r="X71" i="25"/>
  <c r="V59" i="30"/>
  <c r="X79" i="30"/>
  <c r="V59" i="20"/>
  <c r="Z79" i="20"/>
  <c r="V55" i="20"/>
  <c r="Y67" i="20"/>
  <c r="Y87" i="20"/>
  <c r="W7" i="20"/>
  <c r="Z15" i="20"/>
  <c r="W3" i="20"/>
  <c r="W39" i="20"/>
  <c r="X31" i="20"/>
  <c r="AA75" i="20"/>
  <c r="AA91" i="20"/>
  <c r="AA11" i="30"/>
  <c r="X83" i="25"/>
  <c r="W103" i="25"/>
  <c r="W47" i="30"/>
  <c r="W67" i="20"/>
  <c r="V3" i="30"/>
  <c r="W99" i="30"/>
  <c r="W19" i="27"/>
  <c r="V99" i="27"/>
  <c r="X95" i="27"/>
  <c r="W95" i="20"/>
  <c r="AA79" i="25"/>
  <c r="V103" i="25"/>
  <c r="X15" i="30"/>
  <c r="Y91" i="30"/>
  <c r="V3" i="27"/>
  <c r="Z63" i="27"/>
  <c r="Y63" i="27"/>
  <c r="W47" i="27"/>
  <c r="AA79" i="27"/>
  <c r="X99" i="20"/>
  <c r="Z31" i="25"/>
  <c r="X83" i="29"/>
  <c r="Z99" i="29"/>
  <c r="Z35" i="30"/>
  <c r="W11" i="27"/>
  <c r="Y87" i="27"/>
  <c r="Z63" i="25"/>
  <c r="AA63" i="25"/>
  <c r="V59" i="29"/>
  <c r="W55" i="29"/>
  <c r="V11" i="30"/>
  <c r="Y91" i="27"/>
  <c r="V47" i="25"/>
  <c r="AA87" i="29"/>
  <c r="V31" i="29"/>
  <c r="Z7" i="27"/>
  <c r="V43" i="25"/>
  <c r="V51" i="29"/>
  <c r="X39" i="30"/>
  <c r="Z71" i="27"/>
  <c r="AA43" i="25"/>
  <c r="X71" i="29"/>
  <c r="V23" i="27"/>
  <c r="V67" i="30"/>
  <c r="V75" i="30"/>
  <c r="Z19" i="30"/>
  <c r="Y35" i="29"/>
  <c r="W83" i="30"/>
  <c r="X99" i="29"/>
  <c r="Y63" i="29"/>
  <c r="X63" i="30"/>
  <c r="V47" i="30"/>
  <c r="X79" i="20"/>
  <c r="W75" i="20"/>
  <c r="X47" i="20"/>
  <c r="AA79" i="20"/>
  <c r="X51" i="20"/>
  <c r="Z7" i="20"/>
  <c r="Z19" i="20"/>
  <c r="Y15" i="20"/>
  <c r="X43" i="20"/>
  <c r="W43" i="20"/>
  <c r="AA31" i="20"/>
  <c r="AA43" i="20"/>
  <c r="X39" i="27"/>
  <c r="V31" i="27"/>
  <c r="Z39" i="27"/>
  <c r="V87" i="29"/>
  <c r="W83" i="29"/>
  <c r="Z55" i="30"/>
  <c r="X19" i="20"/>
  <c r="AA3" i="30"/>
  <c r="Y95" i="30"/>
  <c r="W43" i="27"/>
  <c r="Z91" i="27"/>
  <c r="Z99" i="27"/>
  <c r="V51" i="25"/>
  <c r="V27" i="25"/>
  <c r="V63" i="25"/>
  <c r="W15" i="30"/>
  <c r="W91" i="30"/>
  <c r="W87" i="27"/>
  <c r="X99" i="27"/>
  <c r="Y15" i="27"/>
  <c r="W15" i="27"/>
  <c r="AA55" i="27"/>
  <c r="W31" i="25"/>
  <c r="X35" i="25"/>
  <c r="AA39" i="29"/>
  <c r="V91" i="29"/>
  <c r="Y23" i="30"/>
  <c r="X59" i="27"/>
  <c r="AA15" i="27"/>
  <c r="Y43" i="25"/>
  <c r="X55" i="25"/>
  <c r="Z63" i="29"/>
  <c r="AA63" i="29"/>
  <c r="X35" i="30"/>
  <c r="Z51" i="27"/>
  <c r="Y27" i="25"/>
  <c r="Z31" i="29"/>
  <c r="V19" i="30"/>
  <c r="Z95" i="27"/>
  <c r="W75" i="25"/>
  <c r="W87" i="29"/>
  <c r="Z15" i="30"/>
  <c r="AA83" i="27"/>
  <c r="Y99" i="25"/>
  <c r="Z75" i="29"/>
  <c r="AA71" i="27"/>
  <c r="Z87" i="30"/>
  <c r="Y51" i="30"/>
  <c r="AA95" i="30"/>
  <c r="V55" i="30"/>
  <c r="V51" i="30"/>
  <c r="W39" i="29"/>
  <c r="W91" i="29"/>
  <c r="AA87" i="30"/>
  <c r="Y79" i="30"/>
  <c r="X75" i="20"/>
  <c r="Y79" i="20"/>
  <c r="Y55" i="20"/>
  <c r="AA51" i="20"/>
  <c r="Y63" i="20"/>
  <c r="V3" i="20"/>
  <c r="Y7" i="20"/>
  <c r="V11" i="20"/>
  <c r="Z31" i="20"/>
  <c r="V35" i="20"/>
  <c r="AA11" i="20"/>
  <c r="Y11" i="30"/>
  <c r="Z27" i="30"/>
  <c r="AA67" i="29"/>
  <c r="X47" i="27"/>
  <c r="X7" i="27"/>
  <c r="X11" i="27"/>
  <c r="Z23" i="20"/>
  <c r="AA19" i="30"/>
  <c r="W63" i="27"/>
  <c r="X83" i="27"/>
  <c r="V95" i="27"/>
  <c r="Y19" i="27"/>
  <c r="AA91" i="25"/>
  <c r="X67" i="25"/>
  <c r="Z35" i="25"/>
  <c r="V15" i="30"/>
  <c r="Z103" i="30"/>
  <c r="W23" i="27"/>
  <c r="W95" i="27"/>
  <c r="AA103" i="27"/>
  <c r="X71" i="27"/>
  <c r="Y47" i="27"/>
  <c r="Y59" i="25"/>
  <c r="AA39" i="25"/>
  <c r="AA47" i="29"/>
  <c r="Z83" i="29"/>
  <c r="Z91" i="30"/>
  <c r="X31" i="27"/>
  <c r="Z23" i="27"/>
  <c r="W63" i="25"/>
  <c r="V83" i="25"/>
  <c r="Y27" i="29"/>
  <c r="Z95" i="29"/>
  <c r="V35" i="30"/>
  <c r="Z75" i="27"/>
  <c r="Y75" i="25"/>
  <c r="W75" i="29"/>
  <c r="AA31" i="30"/>
  <c r="Z91" i="20"/>
  <c r="V39" i="25"/>
  <c r="Z59" i="29"/>
  <c r="Y35" i="30"/>
  <c r="AA47" i="27"/>
  <c r="X63" i="25"/>
  <c r="AA35" i="29"/>
  <c r="Y3" i="27"/>
  <c r="Y71" i="30"/>
  <c r="Y63" i="30"/>
  <c r="X35" i="27"/>
  <c r="AA51" i="30"/>
  <c r="AA59" i="30"/>
  <c r="V35" i="29"/>
  <c r="X63" i="29"/>
  <c r="AA67" i="30"/>
  <c r="Y55" i="30"/>
  <c r="X87" i="20"/>
  <c r="V71" i="20"/>
  <c r="AA55" i="20"/>
  <c r="Z47" i="20"/>
  <c r="V27" i="20"/>
  <c r="AA103" i="25"/>
  <c r="AA35" i="30"/>
  <c r="W79" i="27"/>
  <c r="X19" i="27"/>
  <c r="Z43" i="27"/>
  <c r="AA91" i="27"/>
  <c r="V91" i="25"/>
  <c r="Z95" i="25"/>
  <c r="X31" i="25"/>
  <c r="AA7" i="30"/>
  <c r="X103" i="30"/>
  <c r="X87" i="27"/>
  <c r="AA35" i="27"/>
  <c r="X23" i="30"/>
  <c r="V47" i="27"/>
  <c r="AA67" i="27"/>
  <c r="X79" i="25"/>
  <c r="W79" i="25"/>
  <c r="W47" i="29"/>
  <c r="W59" i="29"/>
  <c r="V91" i="30"/>
  <c r="V87" i="27"/>
  <c r="W91" i="27"/>
  <c r="Y95" i="25"/>
  <c r="AA67" i="25"/>
  <c r="W99" i="29"/>
  <c r="V71" i="29"/>
  <c r="W11" i="30"/>
  <c r="AA99" i="27"/>
  <c r="W95" i="25"/>
  <c r="Y55" i="29"/>
  <c r="Y7" i="30"/>
  <c r="W103" i="20"/>
  <c r="V35" i="25"/>
  <c r="W31" i="29"/>
  <c r="X99" i="30"/>
  <c r="Y103" i="20"/>
  <c r="W67" i="25"/>
  <c r="V47" i="29"/>
  <c r="AA103" i="20"/>
  <c r="V63" i="30"/>
  <c r="Z83" i="30"/>
  <c r="AA27" i="27"/>
  <c r="Y59" i="30"/>
  <c r="Y83" i="30"/>
  <c r="Y87" i="30"/>
  <c r="V99" i="29"/>
  <c r="V87" i="30"/>
  <c r="X67" i="30"/>
  <c r="Z83" i="20"/>
  <c r="AA67" i="20"/>
  <c r="Z87" i="20"/>
  <c r="Z63" i="20"/>
  <c r="X63" i="20"/>
  <c r="X15" i="20"/>
  <c r="X7" i="20"/>
  <c r="Y11" i="20"/>
  <c r="W27" i="20"/>
  <c r="V31" i="20"/>
  <c r="X39" i="20"/>
  <c r="Y27" i="20"/>
  <c r="X19" i="30"/>
  <c r="AA95" i="29"/>
  <c r="W87" i="25"/>
  <c r="W55" i="20"/>
  <c r="Z7" i="30"/>
  <c r="W39" i="27"/>
  <c r="X43" i="27"/>
  <c r="AA63" i="27"/>
  <c r="Y71" i="27"/>
  <c r="V71" i="25"/>
  <c r="Z39" i="25"/>
  <c r="Y83" i="25"/>
  <c r="AA23" i="30"/>
  <c r="V99" i="30"/>
  <c r="X23" i="27"/>
  <c r="Y59" i="27"/>
  <c r="W27" i="30"/>
  <c r="V15" i="27"/>
  <c r="Y79" i="27"/>
  <c r="Z43" i="25"/>
  <c r="W55" i="25"/>
  <c r="Y43" i="29"/>
  <c r="AA103" i="29"/>
  <c r="AA103" i="30"/>
  <c r="AA11" i="27"/>
  <c r="Y95" i="20"/>
  <c r="W47" i="25"/>
  <c r="Z51" i="25"/>
  <c r="Z67" i="29"/>
  <c r="Y75" i="29"/>
  <c r="AA27" i="30"/>
  <c r="V99" i="20"/>
  <c r="W35" i="25"/>
  <c r="V75" i="29"/>
  <c r="X91" i="30"/>
  <c r="Z99" i="20"/>
  <c r="W43" i="25"/>
  <c r="V95" i="29"/>
  <c r="W71" i="27"/>
  <c r="V91" i="20"/>
  <c r="X27" i="29"/>
  <c r="Y39" i="29"/>
  <c r="AA59" i="25"/>
  <c r="Y67" i="30"/>
  <c r="Z71" i="29"/>
  <c r="AA7" i="27"/>
  <c r="W87" i="30"/>
  <c r="W79" i="30"/>
  <c r="W67" i="30"/>
  <c r="Y47" i="29"/>
  <c r="Z71" i="30"/>
  <c r="AA71" i="30"/>
  <c r="V83" i="20"/>
  <c r="AA87" i="20"/>
  <c r="AA71" i="20"/>
  <c r="Y51" i="20"/>
  <c r="W59" i="20"/>
  <c r="AA7" i="20"/>
  <c r="V7" i="20"/>
  <c r="X23" i="20"/>
  <c r="AA27" i="20"/>
  <c r="Y35" i="20"/>
  <c r="X35" i="20"/>
  <c r="Z39" i="20"/>
  <c r="AA15" i="20"/>
  <c r="V67" i="25"/>
  <c r="W51" i="27"/>
  <c r="X79" i="29"/>
  <c r="W59" i="27"/>
  <c r="V19" i="20"/>
  <c r="X11" i="30"/>
  <c r="Z23" i="30"/>
  <c r="X63" i="27"/>
  <c r="V55" i="27"/>
  <c r="Z59" i="27"/>
  <c r="Y55" i="27"/>
  <c r="W51" i="25"/>
  <c r="X99" i="25"/>
  <c r="Y55" i="25"/>
  <c r="AA39" i="30"/>
  <c r="Z95" i="30"/>
  <c r="V59" i="27"/>
  <c r="AA31" i="27"/>
  <c r="V31" i="30"/>
  <c r="W7" i="27"/>
  <c r="Z15" i="27"/>
  <c r="Z103" i="25"/>
  <c r="AA35" i="25"/>
  <c r="Z79" i="29"/>
  <c r="X87" i="29"/>
  <c r="Y99" i="30"/>
  <c r="Z79" i="27"/>
  <c r="X91" i="20"/>
  <c r="X87" i="25"/>
  <c r="W67" i="29"/>
  <c r="AA79" i="29"/>
  <c r="Z87" i="29"/>
  <c r="Y3" i="30"/>
  <c r="Y99" i="20"/>
  <c r="AA51" i="25"/>
  <c r="Y103" i="29"/>
  <c r="X51" i="27"/>
  <c r="X103" i="20"/>
  <c r="Y103" i="25"/>
  <c r="Z43" i="29"/>
  <c r="X15" i="27"/>
  <c r="V99" i="25"/>
  <c r="AA71" i="29"/>
  <c r="X59" i="29"/>
  <c r="Y51" i="25"/>
  <c r="X47" i="30"/>
  <c r="AA83" i="30"/>
  <c r="W91" i="20"/>
  <c r="AA79" i="30"/>
  <c r="Y39" i="30"/>
  <c r="X7" i="30"/>
  <c r="X55" i="30"/>
  <c r="X51" i="30"/>
  <c r="W83" i="20"/>
  <c r="W47" i="20"/>
  <c r="AA63" i="20"/>
  <c r="V87" i="20"/>
  <c r="V51" i="20"/>
  <c r="AA59" i="20"/>
  <c r="W11" i="20"/>
  <c r="AA23" i="20"/>
  <c r="X11" i="20"/>
  <c r="W31" i="20"/>
  <c r="V39" i="20"/>
  <c r="Y11" i="27"/>
  <c r="Y71" i="29"/>
  <c r="X67" i="29"/>
  <c r="W87" i="20"/>
  <c r="X31" i="30"/>
  <c r="Z39" i="30"/>
  <c r="X79" i="27"/>
  <c r="V7" i="27"/>
  <c r="Y23" i="27"/>
  <c r="AA51" i="27"/>
  <c r="Y35" i="25"/>
  <c r="Z27" i="25"/>
  <c r="Y67" i="25"/>
  <c r="Z11" i="30"/>
  <c r="X95" i="30"/>
  <c r="V11" i="27"/>
  <c r="Z11" i="27"/>
  <c r="W35" i="30"/>
  <c r="X55" i="27"/>
  <c r="Z47" i="27"/>
  <c r="Z47" i="25"/>
  <c r="Y87" i="25"/>
  <c r="Y95" i="29"/>
  <c r="X27" i="30"/>
  <c r="V95" i="30"/>
  <c r="AA39" i="27"/>
  <c r="Z79" i="25"/>
  <c r="V79" i="25"/>
  <c r="V27" i="29"/>
  <c r="Z27" i="29"/>
  <c r="W43" i="29"/>
  <c r="V103" i="30"/>
  <c r="AA95" i="20"/>
  <c r="V59" i="25"/>
  <c r="Z55" i="29"/>
  <c r="V75" i="27"/>
  <c r="V95" i="20"/>
  <c r="V75" i="25"/>
  <c r="X31" i="29"/>
  <c r="W55" i="27"/>
  <c r="Z99" i="25"/>
  <c r="AA75" i="29"/>
  <c r="Z103" i="29"/>
  <c r="X39" i="25"/>
  <c r="W75" i="30"/>
  <c r="AA63" i="30"/>
  <c r="X51" i="25"/>
  <c r="X59" i="30"/>
  <c r="Z99" i="30"/>
  <c r="W103" i="30"/>
  <c r="W71" i="30"/>
  <c r="W63" i="30"/>
  <c r="W51" i="20"/>
  <c r="X55" i="20"/>
  <c r="Z71" i="20"/>
  <c r="Z51" i="20"/>
  <c r="AA47" i="20"/>
  <c r="Z75" i="20"/>
  <c r="Y3" i="20"/>
  <c r="Z3" i="20"/>
  <c r="AA19" i="27"/>
  <c r="X27" i="27"/>
  <c r="Y91" i="25"/>
  <c r="W31" i="27"/>
  <c r="Z59" i="30"/>
  <c r="V75" i="20"/>
  <c r="Y39" i="20"/>
  <c r="AF3" i="10"/>
  <c r="AE6" i="10"/>
  <c r="AI4" i="10"/>
  <c r="AQ5" i="10"/>
  <c r="AP3" i="10"/>
  <c r="AE4" i="10"/>
  <c r="AD4" i="10"/>
  <c r="AN5" i="10"/>
  <c r="AK5" i="10"/>
  <c r="AN4" i="10"/>
  <c r="AP5" i="10"/>
  <c r="AD5" i="10"/>
  <c r="AP6" i="10"/>
  <c r="AK6" i="10"/>
  <c r="AP4" i="10"/>
  <c r="AF5" i="10"/>
  <c r="AL4" i="10"/>
  <c r="AO5" i="10"/>
  <c r="AI5" i="10"/>
  <c r="AJ5" i="10"/>
  <c r="AO4" i="10"/>
  <c r="AG3" i="10"/>
  <c r="AN3" i="10"/>
  <c r="AN6" i="10"/>
  <c r="AG4" i="10"/>
  <c r="AE5" i="10"/>
  <c r="AE3" i="10"/>
  <c r="AG5" i="10"/>
  <c r="AO6" i="10"/>
  <c r="AD3" i="10"/>
  <c r="AK3" i="10"/>
  <c r="AQ3" i="10"/>
  <c r="AD6" i="10"/>
  <c r="AF4" i="10"/>
  <c r="AJ6" i="10"/>
  <c r="AQ6" i="10"/>
  <c r="AF6" i="10"/>
  <c r="AI3" i="10"/>
  <c r="AL5" i="10"/>
  <c r="AK4" i="10"/>
  <c r="AG6" i="10"/>
  <c r="AL3" i="10"/>
  <c r="AJ4" i="10"/>
  <c r="AJ3" i="10"/>
  <c r="AI6" i="10"/>
  <c r="AL6" i="10"/>
  <c r="AO3" i="10"/>
  <c r="AQ4" i="10"/>
  <c r="S107" i="20" l="1"/>
  <c r="F17" i="9" s="1"/>
  <c r="R110" i="20"/>
  <c r="S108" i="20"/>
  <c r="F18" i="9" s="1"/>
  <c r="Q116" i="20"/>
  <c r="T111" i="20"/>
  <c r="G23" i="9" s="1"/>
  <c r="J110" i="20"/>
  <c r="T114" i="20"/>
  <c r="G22" i="9" s="1"/>
  <c r="J115" i="20"/>
  <c r="J113" i="20"/>
  <c r="S114" i="20"/>
  <c r="F22" i="9" s="1"/>
  <c r="S109" i="20"/>
  <c r="F19" i="9" s="1"/>
  <c r="T109" i="20"/>
  <c r="G19" i="9" s="1"/>
  <c r="J107" i="20"/>
  <c r="J114" i="20"/>
  <c r="R113" i="20"/>
  <c r="S110" i="20"/>
  <c r="F20" i="9" s="1"/>
  <c r="Y110" i="29"/>
  <c r="X111" i="29"/>
  <c r="E47" i="9" s="1"/>
  <c r="W113" i="29"/>
  <c r="D48" i="9" s="1"/>
  <c r="Y111" i="29"/>
  <c r="AA110" i="25"/>
  <c r="X113" i="27"/>
  <c r="E12" i="9" s="1"/>
  <c r="X110" i="25"/>
  <c r="E32" i="9" s="1"/>
  <c r="AA114" i="27"/>
  <c r="AA107" i="27"/>
  <c r="W113" i="20"/>
  <c r="D24" i="9" s="1"/>
  <c r="AA109" i="27"/>
  <c r="W109" i="20"/>
  <c r="D19" i="9" s="1"/>
  <c r="Y114" i="27"/>
  <c r="Y107" i="27"/>
  <c r="V110" i="29"/>
  <c r="C44" i="9" s="1"/>
  <c r="AA114" i="29"/>
  <c r="AA109" i="29"/>
  <c r="Z110" i="29"/>
  <c r="X109" i="29"/>
  <c r="E43" i="9" s="1"/>
  <c r="X114" i="29"/>
  <c r="E46" i="9" s="1"/>
  <c r="X111" i="25"/>
  <c r="E35" i="9" s="1"/>
  <c r="V113" i="20"/>
  <c r="C24" i="9" s="1"/>
  <c r="V108" i="20"/>
  <c r="C18" i="9" s="1"/>
  <c r="AA110" i="27"/>
  <c r="X120" i="27"/>
  <c r="X108" i="27"/>
  <c r="E6" i="9" s="1"/>
  <c r="Z108" i="30"/>
  <c r="Y113" i="29"/>
  <c r="X112" i="29"/>
  <c r="E45" i="9" s="1"/>
  <c r="W111" i="29"/>
  <c r="D47" i="9" s="1"/>
  <c r="Y110" i="25"/>
  <c r="W108" i="20"/>
  <c r="D18" i="9" s="1"/>
  <c r="Z113" i="20"/>
  <c r="X113" i="30"/>
  <c r="V112" i="29"/>
  <c r="C45" i="9" s="1"/>
  <c r="AA113" i="29"/>
  <c r="W114" i="29"/>
  <c r="D46" i="9" s="1"/>
  <c r="W109" i="29"/>
  <c r="D43" i="9" s="1"/>
  <c r="Y114" i="25"/>
  <c r="Y109" i="25"/>
  <c r="V110" i="25"/>
  <c r="C32" i="9" s="1"/>
  <c r="Y114" i="20"/>
  <c r="Y107" i="20"/>
  <c r="Y113" i="27"/>
  <c r="W109" i="27"/>
  <c r="D7" i="9" s="1"/>
  <c r="X110" i="27"/>
  <c r="E8" i="9" s="1"/>
  <c r="Y107" i="30"/>
  <c r="AA109" i="30"/>
  <c r="Y112" i="29"/>
  <c r="W112" i="29"/>
  <c r="D45" i="9" s="1"/>
  <c r="AA111" i="29"/>
  <c r="Z114" i="29"/>
  <c r="Z109" i="29"/>
  <c r="AA112" i="29"/>
  <c r="Y114" i="29"/>
  <c r="Y109" i="29"/>
  <c r="Z111" i="29"/>
  <c r="Z113" i="29"/>
  <c r="V109" i="29"/>
  <c r="C43" i="9" s="1"/>
  <c r="V114" i="29"/>
  <c r="C46" i="9" s="1"/>
  <c r="AA111" i="25"/>
  <c r="AA114" i="25"/>
  <c r="AA109" i="25"/>
  <c r="V112" i="25"/>
  <c r="C33" i="9" s="1"/>
  <c r="W110" i="25"/>
  <c r="D32" i="9" s="1"/>
  <c r="W111" i="25"/>
  <c r="D35" i="9" s="1"/>
  <c r="Z111" i="25"/>
  <c r="Y111" i="25"/>
  <c r="Y113" i="25"/>
  <c r="Z112" i="25"/>
  <c r="X114" i="20"/>
  <c r="E22" i="9" s="1"/>
  <c r="X107" i="20"/>
  <c r="E17" i="9" s="1"/>
  <c r="X113" i="20"/>
  <c r="E24" i="9" s="1"/>
  <c r="X109" i="20"/>
  <c r="E19" i="9" s="1"/>
  <c r="AA114" i="20"/>
  <c r="AA107" i="20"/>
  <c r="Y109" i="20"/>
  <c r="X108" i="20"/>
  <c r="E18" i="9" s="1"/>
  <c r="W113" i="27"/>
  <c r="D12" i="9" s="1"/>
  <c r="AA108" i="27"/>
  <c r="Z114" i="27"/>
  <c r="Z107" i="27"/>
  <c r="Z112" i="27"/>
  <c r="V113" i="30"/>
  <c r="Z113" i="30"/>
  <c r="Z107" i="30"/>
  <c r="AA108" i="30"/>
  <c r="X109" i="30"/>
  <c r="V113" i="29"/>
  <c r="C48" i="9" s="1"/>
  <c r="V111" i="29"/>
  <c r="C47" i="9" s="1"/>
  <c r="X113" i="29"/>
  <c r="E48" i="9" s="1"/>
  <c r="X110" i="29"/>
  <c r="E44" i="9" s="1"/>
  <c r="Z112" i="29"/>
  <c r="W110" i="29"/>
  <c r="D44" i="9" s="1"/>
  <c r="AA110" i="29"/>
  <c r="Z113" i="25"/>
  <c r="X113" i="25"/>
  <c r="E36" i="9" s="1"/>
  <c r="W112" i="25"/>
  <c r="D33" i="9" s="1"/>
  <c r="W113" i="25"/>
  <c r="D36" i="9" s="1"/>
  <c r="Z110" i="25"/>
  <c r="X112" i="25"/>
  <c r="E33" i="9" s="1"/>
  <c r="V114" i="20"/>
  <c r="C22" i="9" s="1"/>
  <c r="V107" i="20"/>
  <c r="C17" i="9" s="1"/>
  <c r="AA109" i="20"/>
  <c r="AA108" i="20"/>
  <c r="Z109" i="27"/>
  <c r="Z110" i="27"/>
  <c r="Z108" i="27"/>
  <c r="Y112" i="27"/>
  <c r="Y110" i="27"/>
  <c r="AA112" i="27"/>
  <c r="X109" i="27"/>
  <c r="E7" i="9" s="1"/>
  <c r="W120" i="27"/>
  <c r="V108" i="27"/>
  <c r="C6" i="9" s="1"/>
  <c r="V110" i="27"/>
  <c r="C8" i="9" s="1"/>
  <c r="W108" i="27"/>
  <c r="D6" i="9" s="1"/>
  <c r="W110" i="27"/>
  <c r="D8" i="9" s="1"/>
  <c r="W109" i="30"/>
  <c r="Y108" i="27"/>
  <c r="Y111" i="27"/>
  <c r="Y109" i="27"/>
  <c r="Z111" i="27"/>
  <c r="V119" i="27"/>
  <c r="V118" i="27"/>
  <c r="V114" i="27"/>
  <c r="C10" i="9" s="1"/>
  <c r="V107" i="27"/>
  <c r="C5" i="9" s="1"/>
  <c r="X118" i="27"/>
  <c r="X119" i="27"/>
  <c r="X114" i="27"/>
  <c r="E10" i="9" s="1"/>
  <c r="X107" i="27"/>
  <c r="E5" i="9" s="1"/>
  <c r="W118" i="27"/>
  <c r="W119" i="27"/>
  <c r="W114" i="27"/>
  <c r="D10" i="9" s="1"/>
  <c r="W107" i="27"/>
  <c r="D5" i="9" s="1"/>
  <c r="W113" i="30"/>
  <c r="Y113" i="30"/>
  <c r="AA113" i="30"/>
  <c r="Y108" i="30"/>
  <c r="Z109" i="30"/>
  <c r="V108" i="30"/>
  <c r="W108" i="30"/>
  <c r="X108" i="30"/>
  <c r="V109" i="30"/>
  <c r="V111" i="25"/>
  <c r="C35" i="9" s="1"/>
  <c r="Y112" i="25"/>
  <c r="Z114" i="25"/>
  <c r="Z109" i="25"/>
  <c r="V114" i="25"/>
  <c r="C34" i="9" s="1"/>
  <c r="V109" i="25"/>
  <c r="C31" i="9" s="1"/>
  <c r="AA112" i="25"/>
  <c r="W114" i="25"/>
  <c r="D34" i="9" s="1"/>
  <c r="W109" i="25"/>
  <c r="D31" i="9" s="1"/>
  <c r="X109" i="25"/>
  <c r="E31" i="9" s="1"/>
  <c r="X114" i="25"/>
  <c r="E34" i="9" s="1"/>
  <c r="V113" i="25"/>
  <c r="C36" i="9" s="1"/>
  <c r="AA113" i="25"/>
  <c r="Z108" i="20"/>
  <c r="Y108" i="20"/>
  <c r="Z114" i="20"/>
  <c r="Z107" i="20"/>
  <c r="W114" i="20"/>
  <c r="D22" i="9" s="1"/>
  <c r="W107" i="20"/>
  <c r="D17" i="9" s="1"/>
  <c r="Y113" i="20"/>
  <c r="AA113" i="20"/>
  <c r="Z109" i="20"/>
  <c r="V109" i="20"/>
  <c r="C19" i="9" s="1"/>
  <c r="AA113" i="27"/>
  <c r="V113" i="27"/>
  <c r="C12" i="9" s="1"/>
  <c r="AA111" i="27"/>
  <c r="Z113" i="27"/>
  <c r="V109" i="27"/>
  <c r="C7" i="9" s="1"/>
  <c r="V120" i="27"/>
  <c r="V112" i="27"/>
  <c r="C9" i="9" s="1"/>
  <c r="V111" i="27"/>
  <c r="C11" i="9" s="1"/>
  <c r="X112" i="27"/>
  <c r="E9" i="9" s="1"/>
  <c r="X111" i="27"/>
  <c r="E11" i="9" s="1"/>
  <c r="W112" i="27"/>
  <c r="D9" i="9" s="1"/>
  <c r="W111" i="27"/>
  <c r="D11" i="9" s="1"/>
  <c r="Y109" i="30"/>
  <c r="AA107" i="30"/>
  <c r="V107" i="30"/>
  <c r="W107" i="30"/>
  <c r="X107" i="30"/>
  <c r="R111" i="20"/>
  <c r="R114" i="20"/>
  <c r="Y112" i="20"/>
  <c r="AA112" i="20"/>
  <c r="W112" i="20"/>
  <c r="V112" i="20"/>
  <c r="X112" i="20"/>
  <c r="Z112" i="20"/>
  <c r="S111" i="20"/>
  <c r="F23" i="9" s="1"/>
  <c r="R115" i="20"/>
  <c r="V111" i="20"/>
  <c r="C23" i="9" s="1"/>
  <c r="X111" i="20"/>
  <c r="E23" i="9" s="1"/>
  <c r="V110" i="20"/>
  <c r="C20" i="9" s="1"/>
  <c r="Z111" i="20"/>
  <c r="Y110" i="20"/>
  <c r="X110" i="20"/>
  <c r="E20" i="9" s="1"/>
  <c r="AA110" i="20"/>
  <c r="Z110" i="20"/>
  <c r="AA111" i="20"/>
  <c r="W110" i="20"/>
  <c r="D20" i="9" s="1"/>
  <c r="W111" i="20"/>
  <c r="D23" i="9" s="1"/>
  <c r="Y111" i="20"/>
  <c r="S112" i="30"/>
  <c r="S114" i="30"/>
  <c r="R115" i="30"/>
  <c r="R116" i="30" s="1"/>
  <c r="T111" i="30"/>
  <c r="T112" i="30"/>
  <c r="AA110" i="30"/>
  <c r="AA114" i="30"/>
  <c r="W112" i="30"/>
  <c r="Y111" i="30"/>
  <c r="Z112" i="30"/>
  <c r="Z114" i="30"/>
  <c r="Z110" i="30"/>
  <c r="W111" i="30"/>
  <c r="V112" i="30"/>
  <c r="Z111" i="30"/>
  <c r="Y112" i="30"/>
  <c r="Y114" i="30"/>
  <c r="Y110" i="30"/>
  <c r="X111" i="30"/>
  <c r="V119" i="30"/>
  <c r="V118" i="30"/>
  <c r="V110" i="30"/>
  <c r="V114" i="30"/>
  <c r="W119" i="30"/>
  <c r="W110" i="30"/>
  <c r="W118" i="30"/>
  <c r="W114" i="30"/>
  <c r="X119" i="30"/>
  <c r="X110" i="30"/>
  <c r="X118" i="30"/>
  <c r="X114" i="30"/>
  <c r="AA112" i="30"/>
  <c r="V111" i="30"/>
  <c r="X112" i="30"/>
  <c r="AA111" i="30"/>
  <c r="V120" i="30"/>
  <c r="W120" i="30"/>
  <c r="X120" i="30"/>
  <c r="S110" i="30"/>
  <c r="AE12" i="10"/>
  <c r="AE15" i="10" s="1"/>
  <c r="AE13" i="10"/>
  <c r="AE16" i="10" s="1"/>
  <c r="AF13" i="10"/>
  <c r="AF16" i="10" s="1"/>
  <c r="AF12" i="10"/>
  <c r="AF15" i="10" s="1"/>
  <c r="AD12" i="10"/>
  <c r="AD15" i="10" s="1"/>
  <c r="AD13" i="10"/>
  <c r="AD16" i="10" s="1"/>
  <c r="AG13" i="10"/>
  <c r="AG16" i="10" s="1"/>
  <c r="AG12" i="10"/>
  <c r="AG15" i="10" s="1"/>
  <c r="R116" i="20" l="1"/>
</calcChain>
</file>

<file path=xl/sharedStrings.xml><?xml version="1.0" encoding="utf-8"?>
<sst xmlns="http://schemas.openxmlformats.org/spreadsheetml/2006/main" count="1333" uniqueCount="525">
  <si>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</si>
  <si>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</si>
  <si>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</si>
  <si>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</si>
  <si>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</si>
  <si>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</si>
  <si>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</si>
  <si>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</si>
  <si>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</si>
  <si>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</si>
  <si>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</si>
  <si>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</si>
  <si>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</si>
  <si>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</si>
  <si>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</si>
  <si>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</si>
  <si>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</si>
  <si>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</si>
  <si>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</si>
  <si>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</si>
  <si>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</si>
  <si>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</si>
  <si>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</si>
  <si>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</si>
  <si>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</si>
  <si>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</si>
  <si>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</si>
  <si>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</si>
  <si>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</si>
  <si>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</si>
  <si>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</si>
  <si>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</si>
  <si>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</si>
  <si>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</si>
  <si>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</si>
  <si>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</si>
  <si>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</si>
  <si>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</si>
  <si>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</si>
  <si>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</si>
  <si>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</si>
  <si>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</si>
  <si>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</si>
  <si>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</si>
  <si>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</si>
  <si>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Random Access Main 10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</si>
  <si>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</si>
  <si>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</si>
  <si>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</si>
  <si>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</si>
  <si>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</si>
  <si>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</si>
  <si>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</si>
  <si>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</si>
  <si>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</si>
  <si>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</si>
  <si>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</si>
  <si>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</si>
  <si>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</si>
  <si>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</si>
  <si>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</si>
  <si>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</si>
  <si>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</si>
  <si>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</si>
  <si>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</si>
  <si>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</si>
  <si>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>EncR</t>
  </si>
  <si>
    <t>DecR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</si>
  <si>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</si>
  <si>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</si>
  <si>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</si>
  <si>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</si>
  <si>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A1</t>
  </si>
  <si>
    <t>Class A2</t>
  </si>
  <si>
    <t>AI-10</t>
  </si>
  <si>
    <t>RA-10</t>
  </si>
  <si>
    <t>LDB-10</t>
  </si>
  <si>
    <t>LDP-10</t>
  </si>
  <si>
    <t>Tango2.Q22.jvet10.ai</t>
  </si>
  <si>
    <t>Tango2.Q27.jvet10.ai</t>
  </si>
  <si>
    <t>Tango2.Q32.jvet10.ai</t>
  </si>
  <si>
    <t>Tango2.Q37.jvet10.ai</t>
  </si>
  <si>
    <t>CampfireParty2.Q22.jvet10.ai</t>
  </si>
  <si>
    <t>CampfireParty2.Q27.jvet10.ai</t>
  </si>
  <si>
    <t>CampfireParty2.Q32.jvet10.ai</t>
  </si>
  <si>
    <t>CampfireParty2.Q37.jvet10.ai</t>
  </si>
  <si>
    <t>DaylightRoad2.Q22.jvet10.ai</t>
  </si>
  <si>
    <t>DaylightRoad2.Q27.jvet10.ai</t>
  </si>
  <si>
    <t>DaylightRoad2.Q32.jvet10.ai</t>
  </si>
  <si>
    <t>DaylightRoad2.Q37.jvet10.ai</t>
  </si>
  <si>
    <t>Cactus.Q22.jvet10.ai</t>
  </si>
  <si>
    <t>Cactus.Q27.jvet10.ai</t>
  </si>
  <si>
    <t>Cactus.Q32.jvet10.ai</t>
  </si>
  <si>
    <t>Cactus.Q37.jvet10.ai</t>
  </si>
  <si>
    <t>BasketballDrive.Q22.jvet10.ai</t>
  </si>
  <si>
    <t>BasketballDrive.Q27.jvet10.ai</t>
  </si>
  <si>
    <t>BasketballDrive.Q32.jvet10.ai</t>
  </si>
  <si>
    <t>BasketballDrive.Q37.jvet10.ai</t>
  </si>
  <si>
    <t>BQTerrace.Q22.jvet10.ai</t>
  </si>
  <si>
    <t>BQTerrace.Q27.jvet10.ai</t>
  </si>
  <si>
    <t>BQTerrace.Q32.jvet10.ai</t>
  </si>
  <si>
    <t>BQTerrace.Q37.jvet10.ai</t>
  </si>
  <si>
    <t>BasketballDrill.Q22.jvet10.ai</t>
  </si>
  <si>
    <t>BasketballDrill.Q27.jvet10.ai</t>
  </si>
  <si>
    <t>BasketballDrill.Q32.jvet10.ai</t>
  </si>
  <si>
    <t>BasketballDrill.Q37.jvet10.ai</t>
  </si>
  <si>
    <t>BQMall.Q22.jvet10.ai</t>
  </si>
  <si>
    <t>BQMall.Q27.jvet10.ai</t>
  </si>
  <si>
    <t>BQMall.Q32.jvet10.ai</t>
  </si>
  <si>
    <t>BQMall.Q37.jvet10.ai</t>
  </si>
  <si>
    <t>PartyScene.Q22.jvet10.ai</t>
  </si>
  <si>
    <t>PartyScene.Q27.jvet10.ai</t>
  </si>
  <si>
    <t>PartyScene.Q32.jvet10.ai</t>
  </si>
  <si>
    <t>PartyScene.Q37.jvet10.ai</t>
  </si>
  <si>
    <t>RaceHorsesC.Q22.jvet10.ai</t>
  </si>
  <si>
    <t>RaceHorsesC.Q27.jvet10.ai</t>
  </si>
  <si>
    <t>RaceHorsesC.Q32.jvet10.ai</t>
  </si>
  <si>
    <t>RaceHorsesC.Q37.jvet10.ai</t>
  </si>
  <si>
    <t>BasketballPass.Q22.jvet10.ai</t>
  </si>
  <si>
    <t>BasketballPass.Q27.jvet10.ai</t>
  </si>
  <si>
    <t>BasketballPass.Q32.jvet10.ai</t>
  </si>
  <si>
    <t>BasketballPass.Q37.jvet10.ai</t>
  </si>
  <si>
    <t>BQSquare.Q22.jvet10.ai</t>
  </si>
  <si>
    <t>BQSquare.Q27.jvet10.ai</t>
  </si>
  <si>
    <t>BQSquare.Q32.jvet10.ai</t>
  </si>
  <si>
    <t>BQSquare.Q37.jvet10.ai</t>
  </si>
  <si>
    <t>BlowingBubbles.Q22.jvet10.ai</t>
  </si>
  <si>
    <t>BlowingBubbles.Q27.jvet10.ai</t>
  </si>
  <si>
    <t>BlowingBubbles.Q32.jvet10.ai</t>
  </si>
  <si>
    <t>BlowingBubbles.Q37.jvet10.ai</t>
  </si>
  <si>
    <t>RaceHorses.Q22.jvet10.ai</t>
  </si>
  <si>
    <t>RaceHorses.Q27.jvet10.ai</t>
  </si>
  <si>
    <t>RaceHorses.Q32.jvet10.ai</t>
  </si>
  <si>
    <t>RaceHorses.Q37.jvet10.ai</t>
  </si>
  <si>
    <t>FourPeople.Q22.jvet10.ai</t>
  </si>
  <si>
    <t>FourPeople.Q27.jvet10.ai</t>
  </si>
  <si>
    <t>FourPeople.Q32.jvet10.ai</t>
  </si>
  <si>
    <t>FourPeople.Q37.jvet10.ai</t>
  </si>
  <si>
    <t>Johnny.Q22.jvet10.ai</t>
  </si>
  <si>
    <t>Johnny.Q27.jvet10.ai</t>
  </si>
  <si>
    <t>Johnny.Q32.jvet10.ai</t>
  </si>
  <si>
    <t>Johnny.Q37.jvet10.ai</t>
  </si>
  <si>
    <t>KristenAndSara.Q22.jvet10.ai</t>
  </si>
  <si>
    <t>KristenAndSara.Q27.jvet10.ai</t>
  </si>
  <si>
    <t>KristenAndSara.Q32.jvet10.ai</t>
  </si>
  <si>
    <t>KristenAndSara.Q37.jvet10.ai</t>
  </si>
  <si>
    <t>BasketballDrillText.Q22.jvet10.ai</t>
  </si>
  <si>
    <t>BasketballDrillText.Q27.jvet10.ai</t>
  </si>
  <si>
    <t>BasketballDrillText.Q32.jvet10.ai</t>
  </si>
  <si>
    <t>BasketballDrillText.Q37.jvet10.ai</t>
  </si>
  <si>
    <t>ChinaSpeed.Q22.jvet10.ai</t>
  </si>
  <si>
    <t>ChinaSpeed.Q27.jvet10.ai</t>
  </si>
  <si>
    <t>ChinaSpeed.Q32.jvet10.ai</t>
  </si>
  <si>
    <t>ChinaSpeed.Q37.jvet10.ai</t>
  </si>
  <si>
    <t>SlideEditing.Q22.jvet10.ai</t>
  </si>
  <si>
    <t>SlideEditing.Q27.jvet10.ai</t>
  </si>
  <si>
    <t>SlideEditing.Q32.jvet10.ai</t>
  </si>
  <si>
    <t>SlideEditing.Q37.jvet10.ai</t>
  </si>
  <si>
    <t>SlideShow.Q22.jvet10.ai</t>
  </si>
  <si>
    <t>SlideShow.Q27.jvet10.ai</t>
  </si>
  <si>
    <t>SlideShow.Q32.jvet10.ai</t>
  </si>
  <si>
    <t>SlideShow.Q37.jvet10.ai</t>
  </si>
  <si>
    <t>Tango2.Q22.jvet10.ra</t>
  </si>
  <si>
    <t>Tango2.Q27.jvet10.ra</t>
  </si>
  <si>
    <t>Tango2.Q32.jvet10.ra</t>
  </si>
  <si>
    <t>Tango2.Q37.jvet10.ra</t>
  </si>
  <si>
    <t>CampfireParty2.Q22.jvet10.ra</t>
  </si>
  <si>
    <t>CampfireParty2.Q27.jvet10.ra</t>
  </si>
  <si>
    <t>CampfireParty2.Q32.jvet10.ra</t>
  </si>
  <si>
    <t>CampfireParty2.Q37.jvet10.ra</t>
  </si>
  <si>
    <t>DaylightRoad2.Q22.jvet10.ra</t>
  </si>
  <si>
    <t>DaylightRoad2.Q27.jvet10.ra</t>
  </si>
  <si>
    <t>DaylightRoad2.Q32.jvet10.ra</t>
  </si>
  <si>
    <t>DaylightRoad2.Q37.jvet10.ra</t>
  </si>
  <si>
    <t>Cactus.Q22.jvet10.ra</t>
  </si>
  <si>
    <t>Cactus.Q27.jvet10.ra</t>
  </si>
  <si>
    <t>Cactus.Q32.jvet10.ra</t>
  </si>
  <si>
    <t>Cactus.Q37.jvet10.ra</t>
  </si>
  <si>
    <t>BasketballDrive.Q22.jvet10.ra</t>
  </si>
  <si>
    <t>BasketballDrive.Q27.jvet10.ra</t>
  </si>
  <si>
    <t>BasketballDrive.Q32.jvet10.ra</t>
  </si>
  <si>
    <t>BasketballDrive.Q37.jvet10.ra</t>
  </si>
  <si>
    <t>BQTerrace.Q22.jvet10.ra</t>
  </si>
  <si>
    <t>BQTerrace.Q27.jvet10.ra</t>
  </si>
  <si>
    <t>BQTerrace.Q32.jvet10.ra</t>
  </si>
  <si>
    <t>BQTerrace.Q37.jvet10.ra</t>
  </si>
  <si>
    <t>BasketballDrill.Q22.jvet10.ra</t>
  </si>
  <si>
    <t>BasketballDrill.Q27.jvet10.ra</t>
  </si>
  <si>
    <t>BasketballDrill.Q32.jvet10.ra</t>
  </si>
  <si>
    <t>BasketballDrill.Q37.jvet10.ra</t>
  </si>
  <si>
    <t>BQMall.Q22.jvet10.ra</t>
  </si>
  <si>
    <t>BQMall.Q27.jvet10.ra</t>
  </si>
  <si>
    <t>BQMall.Q32.jvet10.ra</t>
  </si>
  <si>
    <t>BQMall.Q37.jvet10.ra</t>
  </si>
  <si>
    <t>PartyScene.Q22.jvet10.ra</t>
  </si>
  <si>
    <t>PartyScene.Q27.jvet10.ra</t>
  </si>
  <si>
    <t>PartyScene.Q32.jvet10.ra</t>
  </si>
  <si>
    <t>PartyScene.Q37.jvet10.ra</t>
  </si>
  <si>
    <t>RaceHorsesC.Q22.jvet10.ra</t>
  </si>
  <si>
    <t>RaceHorsesC.Q27.jvet10.ra</t>
  </si>
  <si>
    <t>RaceHorsesC.Q32.jvet10.ra</t>
  </si>
  <si>
    <t>RaceHorsesC.Q37.jvet10.ra</t>
  </si>
  <si>
    <t>BasketballPass.Q22.jvet10.ra</t>
  </si>
  <si>
    <t>BasketballPass.Q27.jvet10.ra</t>
  </si>
  <si>
    <t>BasketballPass.Q32.jvet10.ra</t>
  </si>
  <si>
    <t>BasketballPass.Q37.jvet10.ra</t>
  </si>
  <si>
    <t>BQSquare.Q22.jvet10.ra</t>
  </si>
  <si>
    <t>BQSquare.Q27.jvet10.ra</t>
  </si>
  <si>
    <t>BQSquare.Q32.jvet10.ra</t>
  </si>
  <si>
    <t>BQSquare.Q37.jvet10.ra</t>
  </si>
  <si>
    <t>BlowingBubbles.Q22.jvet10.ra</t>
  </si>
  <si>
    <t>BlowingBubbles.Q27.jvet10.ra</t>
  </si>
  <si>
    <t>BlowingBubbles.Q32.jvet10.ra</t>
  </si>
  <si>
    <t>BlowingBubbles.Q37.jvet10.ra</t>
  </si>
  <si>
    <t>RaceHorses.Q22.jvet10.ra</t>
  </si>
  <si>
    <t>RaceHorses.Q27.jvet10.ra</t>
  </si>
  <si>
    <t>RaceHorses.Q32.jvet10.ra</t>
  </si>
  <si>
    <t>RaceHorses.Q37.jvet10.ra</t>
  </si>
  <si>
    <t>FourPeople.Q22.jvet10.ra</t>
  </si>
  <si>
    <t>FourPeople.Q27.jvet10.ra</t>
  </si>
  <si>
    <t>FourPeople.Q32.jvet10.ra</t>
  </si>
  <si>
    <t>FourPeople.Q37.jvet10.ra</t>
  </si>
  <si>
    <t>Johnny.Q22.jvet10.ra</t>
  </si>
  <si>
    <t>Johnny.Q27.jvet10.ra</t>
  </si>
  <si>
    <t>Johnny.Q32.jvet10.ra</t>
  </si>
  <si>
    <t>Johnny.Q37.jvet10.ra</t>
  </si>
  <si>
    <t>KristenAndSara.Q22.jvet10.ra</t>
  </si>
  <si>
    <t>KristenAndSara.Q27.jvet10.ra</t>
  </si>
  <si>
    <t>KristenAndSara.Q32.jvet10.ra</t>
  </si>
  <si>
    <t>KristenAndSara.Q37.jvet10.ra</t>
  </si>
  <si>
    <t>BasketballDrillText.Q22.jvet10.ra</t>
  </si>
  <si>
    <t>BasketballDrillText.Q27.jvet10.ra</t>
  </si>
  <si>
    <t>BasketballDrillText.Q32.jvet10.ra</t>
  </si>
  <si>
    <t>BasketballDrillText.Q37.jvet10.ra</t>
  </si>
  <si>
    <t>ChinaSpeed.Q22.jvet10.ra</t>
  </si>
  <si>
    <t>ChinaSpeed.Q27.jvet10.ra</t>
  </si>
  <si>
    <t>ChinaSpeed.Q32.jvet10.ra</t>
  </si>
  <si>
    <t>ChinaSpeed.Q37.jvet10.ra</t>
  </si>
  <si>
    <t>SlideEditing.Q22.jvet10.ra</t>
  </si>
  <si>
    <t>SlideEditing.Q27.jvet10.ra</t>
  </si>
  <si>
    <t>SlideEditing.Q32.jvet10.ra</t>
  </si>
  <si>
    <t>SlideEditing.Q37.jvet10.ra</t>
  </si>
  <si>
    <t>SlideShow.Q22.jvet10.ra</t>
  </si>
  <si>
    <t>SlideShow.Q27.jvet10.ra</t>
  </si>
  <si>
    <t>SlideShow.Q32.jvet10.ra</t>
  </si>
  <si>
    <t>SlideShow.Q37.jvet10.ra</t>
  </si>
  <si>
    <t>Tango2.Q22.jvet10.lb</t>
  </si>
  <si>
    <t>Tango2.Q27.jvet10.lb</t>
  </si>
  <si>
    <t>Tango2.Q32.jvet10.lb</t>
  </si>
  <si>
    <t>Tango2.Q37.jvet10.lb</t>
  </si>
  <si>
    <t>CampfireParty2.Q22.jvet10.lb</t>
  </si>
  <si>
    <t>CampfireParty2.Q27.jvet10.lb</t>
  </si>
  <si>
    <t>CampfireParty2.Q32.jvet10.lb</t>
  </si>
  <si>
    <t>CampfireParty2.Q37.jvet10.lb</t>
  </si>
  <si>
    <t>DaylightRoad2.Q22.jvet10.lb</t>
  </si>
  <si>
    <t>DaylightRoad2.Q27.jvet10.lb</t>
  </si>
  <si>
    <t>DaylightRoad2.Q32.jvet10.lb</t>
  </si>
  <si>
    <t>DaylightRoad2.Q37.jvet10.lb</t>
  </si>
  <si>
    <t>Cactus.Q22.jvet10.lb</t>
  </si>
  <si>
    <t>Cactus.Q27.jvet10.lb</t>
  </si>
  <si>
    <t>Cactus.Q32.jvet10.lb</t>
  </si>
  <si>
    <t>Cactus.Q37.jvet10.lb</t>
  </si>
  <si>
    <t>BasketballDrive.Q22.jvet10.lb</t>
  </si>
  <si>
    <t>BasketballDrive.Q27.jvet10.lb</t>
  </si>
  <si>
    <t>BasketballDrive.Q32.jvet10.lb</t>
  </si>
  <si>
    <t>BasketballDrive.Q37.jvet10.lb</t>
  </si>
  <si>
    <t>BQTerrace.Q22.jvet10.lb</t>
  </si>
  <si>
    <t>BQTerrace.Q27.jvet10.lb</t>
  </si>
  <si>
    <t>BQTerrace.Q32.jvet10.lb</t>
  </si>
  <si>
    <t>BQTerrace.Q37.jvet10.lb</t>
  </si>
  <si>
    <t>BasketballDrill.Q22.jvet10.lb</t>
  </si>
  <si>
    <t>BasketballDrill.Q27.jvet10.lb</t>
  </si>
  <si>
    <t>BasketballDrill.Q32.jvet10.lb</t>
  </si>
  <si>
    <t>BasketballDrill.Q37.jvet10.lb</t>
  </si>
  <si>
    <t>BQMall.Q22.jvet10.lb</t>
  </si>
  <si>
    <t>BQMall.Q27.jvet10.lb</t>
  </si>
  <si>
    <t>BQMall.Q32.jvet10.lb</t>
  </si>
  <si>
    <t>BQMall.Q37.jvet10.lb</t>
  </si>
  <si>
    <t>PartyScene.Q22.jvet10.lb</t>
  </si>
  <si>
    <t>PartyScene.Q27.jvet10.lb</t>
  </si>
  <si>
    <t>PartyScene.Q32.jvet10.lb</t>
  </si>
  <si>
    <t>PartyScene.Q37.jvet10.lb</t>
  </si>
  <si>
    <t>RaceHorsesC.Q22.jvet10.lb</t>
  </si>
  <si>
    <t>RaceHorsesC.Q27.jvet10.lb</t>
  </si>
  <si>
    <t>RaceHorsesC.Q32.jvet10.lb</t>
  </si>
  <si>
    <t>RaceHorsesC.Q37.jvet10.lb</t>
  </si>
  <si>
    <t>BasketballPass.Q22.jvet10.lb</t>
  </si>
  <si>
    <t>BasketballPass.Q27.jvet10.lb</t>
  </si>
  <si>
    <t>BasketballPass.Q32.jvet10.lb</t>
  </si>
  <si>
    <t>BasketballPass.Q37.jvet10.lb</t>
  </si>
  <si>
    <t>BQSquare.Q22.jvet10.lb</t>
  </si>
  <si>
    <t>BQSquare.Q27.jvet10.lb</t>
  </si>
  <si>
    <t>BQSquare.Q32.jvet10.lb</t>
  </si>
  <si>
    <t>BQSquare.Q37.jvet10.lb</t>
  </si>
  <si>
    <t>BlowingBubbles.Q22.jvet10.lb</t>
  </si>
  <si>
    <t>BlowingBubbles.Q27.jvet10.lb</t>
  </si>
  <si>
    <t>BlowingBubbles.Q32.jvet10.lb</t>
  </si>
  <si>
    <t>BlowingBubbles.Q37.jvet10.lb</t>
  </si>
  <si>
    <t>RaceHorses.Q22.jvet10.lb</t>
  </si>
  <si>
    <t>RaceHorses.Q27.jvet10.lb</t>
  </si>
  <si>
    <t>RaceHorses.Q32.jvet10.lb</t>
  </si>
  <si>
    <t>RaceHorses.Q37.jvet10.lb</t>
  </si>
  <si>
    <t>FourPeople.Q22.jvet10.lb</t>
  </si>
  <si>
    <t>FourPeople.Q27.jvet10.lb</t>
  </si>
  <si>
    <t>FourPeople.Q32.jvet10.lb</t>
  </si>
  <si>
    <t>FourPeople.Q37.jvet10.lb</t>
  </si>
  <si>
    <t>Johnny.Q22.jvet10.lb</t>
  </si>
  <si>
    <t>Johnny.Q27.jvet10.lb</t>
  </si>
  <si>
    <t>Johnny.Q32.jvet10.lb</t>
  </si>
  <si>
    <t>Johnny.Q37.jvet10.lb</t>
  </si>
  <si>
    <t>KristenAndSara.Q22.jvet10.lb</t>
  </si>
  <si>
    <t>KristenAndSara.Q27.jvet10.lb</t>
  </si>
  <si>
    <t>KristenAndSara.Q32.jvet10.lb</t>
  </si>
  <si>
    <t>KristenAndSara.Q37.jvet10.lb</t>
  </si>
  <si>
    <t>BasketballDrillText.Q22.jvet10.lb</t>
  </si>
  <si>
    <t>BasketballDrillText.Q27.jvet10.lb</t>
  </si>
  <si>
    <t>BasketballDrillText.Q32.jvet10.lb</t>
  </si>
  <si>
    <t>BasketballDrillText.Q37.jvet10.lb</t>
  </si>
  <si>
    <t>ChinaSpeed.Q22.jvet10.lb</t>
  </si>
  <si>
    <t>ChinaSpeed.Q27.jvet10.lb</t>
  </si>
  <si>
    <t>ChinaSpeed.Q32.jvet10.lb</t>
  </si>
  <si>
    <t>ChinaSpeed.Q37.jvet10.lb</t>
  </si>
  <si>
    <t>SlideEditing.Q22.jvet10.lb</t>
  </si>
  <si>
    <t>SlideEditing.Q27.jvet10.lb</t>
  </si>
  <si>
    <t>SlideEditing.Q32.jvet10.lb</t>
  </si>
  <si>
    <t>SlideEditing.Q37.jvet10.lb</t>
  </si>
  <si>
    <t>SlideShow.Q22.jvet10.lb</t>
  </si>
  <si>
    <t>SlideShow.Q27.jvet10.lb</t>
  </si>
  <si>
    <t>SlideShow.Q32.jvet10.lb</t>
  </si>
  <si>
    <t>SlideShow.Q37.jvet10.lb</t>
  </si>
  <si>
    <t>Tango2.Q22.jvet10.lp</t>
  </si>
  <si>
    <t>Tango2.Q27.jvet10.lp</t>
  </si>
  <si>
    <t>Tango2.Q32.jvet10.lp</t>
  </si>
  <si>
    <t>Tango2.Q37.jvet10.lp</t>
  </si>
  <si>
    <t>CampfireParty2.Q22.jvet10.lp</t>
  </si>
  <si>
    <t>CampfireParty2.Q27.jvet10.lp</t>
  </si>
  <si>
    <t>CampfireParty2.Q32.jvet10.lp</t>
  </si>
  <si>
    <t>CampfireParty2.Q37.jvet10.lp</t>
  </si>
  <si>
    <t>DaylightRoad2.Q22.jvet10.lp</t>
  </si>
  <si>
    <t>DaylightRoad2.Q27.jvet10.lp</t>
  </si>
  <si>
    <t>DaylightRoad2.Q32.jvet10.lp</t>
  </si>
  <si>
    <t>DaylightRoad2.Q37.jvet10.lp</t>
  </si>
  <si>
    <t>Cactus.Q22.jvet10.lp</t>
  </si>
  <si>
    <t>Cactus.Q27.jvet10.lp</t>
  </si>
  <si>
    <t>Cactus.Q32.jvet10.lp</t>
  </si>
  <si>
    <t>Cactus.Q37.jvet10.lp</t>
  </si>
  <si>
    <t>BasketballDrive.Q22.jvet10.lp</t>
  </si>
  <si>
    <t>BasketballDrive.Q27.jvet10.lp</t>
  </si>
  <si>
    <t>BasketballDrive.Q32.jvet10.lp</t>
  </si>
  <si>
    <t>BasketballDrive.Q37.jvet10.lp</t>
  </si>
  <si>
    <t>BQTerrace.Q22.jvet10.lp</t>
  </si>
  <si>
    <t>BQTerrace.Q27.jvet10.lp</t>
  </si>
  <si>
    <t>BQTerrace.Q32.jvet10.lp</t>
  </si>
  <si>
    <t>BQTerrace.Q37.jvet10.lp</t>
  </si>
  <si>
    <t>BasketballDrill.Q22.jvet10.lp</t>
  </si>
  <si>
    <t>BasketballDrill.Q27.jvet10.lp</t>
  </si>
  <si>
    <t>BasketballDrill.Q32.jvet10.lp</t>
  </si>
  <si>
    <t>BasketballDrill.Q37.jvet10.lp</t>
  </si>
  <si>
    <t>BQMall.Q22.jvet10.lp</t>
  </si>
  <si>
    <t>BQMall.Q27.jvet10.lp</t>
  </si>
  <si>
    <t>BQMall.Q32.jvet10.lp</t>
  </si>
  <si>
    <t>BQMall.Q37.jvet10.lp</t>
  </si>
  <si>
    <t>PartyScene.Q22.jvet10.lp</t>
  </si>
  <si>
    <t>PartyScene.Q27.jvet10.lp</t>
  </si>
  <si>
    <t>PartyScene.Q32.jvet10.lp</t>
  </si>
  <si>
    <t>PartyScene.Q37.jvet10.lp</t>
  </si>
  <si>
    <t>RaceHorsesC.Q22.jvet10.lp</t>
  </si>
  <si>
    <t>RaceHorsesC.Q27.jvet10.lp</t>
  </si>
  <si>
    <t>RaceHorsesC.Q32.jvet10.lp</t>
  </si>
  <si>
    <t>RaceHorsesC.Q37.jvet10.lp</t>
  </si>
  <si>
    <t>BasketballPass.Q22.jvet10.lp</t>
  </si>
  <si>
    <t>BasketballPass.Q27.jvet10.lp</t>
  </si>
  <si>
    <t>BasketballPass.Q32.jvet10.lp</t>
  </si>
  <si>
    <t>BasketballPass.Q37.jvet10.lp</t>
  </si>
  <si>
    <t>BQSquare.Q22.jvet10.lp</t>
  </si>
  <si>
    <t>BQSquare.Q27.jvet10.lp</t>
  </si>
  <si>
    <t>BQSquare.Q32.jvet10.lp</t>
  </si>
  <si>
    <t>BQSquare.Q37.jvet10.lp</t>
  </si>
  <si>
    <t>BlowingBubbles.Q22.jvet10.lp</t>
  </si>
  <si>
    <t>BlowingBubbles.Q27.jvet10.lp</t>
  </si>
  <si>
    <t>BlowingBubbles.Q32.jvet10.lp</t>
  </si>
  <si>
    <t>BlowingBubbles.Q37.jvet10.lp</t>
  </si>
  <si>
    <t>RaceHorses.Q22.jvet10.lp</t>
  </si>
  <si>
    <t>RaceHorses.Q27.jvet10.lp</t>
  </si>
  <si>
    <t>RaceHorses.Q32.jvet10.lp</t>
  </si>
  <si>
    <t>RaceHorses.Q37.jvet10.lp</t>
  </si>
  <si>
    <t>FourPeople.Q22.jvet10.lp</t>
  </si>
  <si>
    <t>FourPeople.Q27.jvet10.lp</t>
  </si>
  <si>
    <t>FourPeople.Q32.jvet10.lp</t>
  </si>
  <si>
    <t>FourPeople.Q37.jvet10.lp</t>
  </si>
  <si>
    <t>Johnny.Q22.jvet10.lp</t>
  </si>
  <si>
    <t>Johnny.Q27.jvet10.lp</t>
  </si>
  <si>
    <t>Johnny.Q32.jvet10.lp</t>
  </si>
  <si>
    <t>Johnny.Q37.jvet10.lp</t>
  </si>
  <si>
    <t>KristenAndSara.Q22.jvet10.lp</t>
  </si>
  <si>
    <t>KristenAndSara.Q27.jvet10.lp</t>
  </si>
  <si>
    <t>KristenAndSara.Q32.jvet10.lp</t>
  </si>
  <si>
    <t>KristenAndSara.Q37.jvet10.lp</t>
  </si>
  <si>
    <t>BasketballDrillText.Q22.jvet10.lp</t>
  </si>
  <si>
    <t>BasketballDrillText.Q27.jvet10.lp</t>
  </si>
  <si>
    <t>BasketballDrillText.Q32.jvet10.lp</t>
  </si>
  <si>
    <t>BasketballDrillText.Q37.jvet10.lp</t>
  </si>
  <si>
    <t>ChinaSpeed.Q22.jvet10.lp</t>
  </si>
  <si>
    <t>ChinaSpeed.Q27.jvet10.lp</t>
  </si>
  <si>
    <t>ChinaSpeed.Q32.jvet10.lp</t>
  </si>
  <si>
    <t>ChinaSpeed.Q37.jvet10.lp</t>
  </si>
  <si>
    <t>SlideEditing.Q22.jvet10.lp</t>
  </si>
  <si>
    <t>SlideEditing.Q27.jvet10.lp</t>
  </si>
  <si>
    <t>SlideEditing.Q32.jvet10.lp</t>
  </si>
  <si>
    <t>SlideEditing.Q37.jvet10.lp</t>
  </si>
  <si>
    <t>SlideShow.Q22.jvet10.lp</t>
  </si>
  <si>
    <t>SlideShow.Q27.jvet10.lp</t>
  </si>
  <si>
    <t>SlideShow.Q32.jvet10.lp</t>
  </si>
  <si>
    <t>SlideShow.Q37.jvet10.lp</t>
  </si>
  <si>
    <t>Test</t>
  </si>
  <si>
    <t>Overall</t>
  </si>
  <si>
    <t>Tango2</t>
  </si>
  <si>
    <t>FoodMarket4</t>
  </si>
  <si>
    <t>CatRobot1</t>
  </si>
  <si>
    <t>DaylightRoad2</t>
  </si>
  <si>
    <t>ParkRunning3</t>
  </si>
  <si>
    <t>RitualDance</t>
  </si>
  <si>
    <t>MarketPlace</t>
  </si>
  <si>
    <t>FoodMarket4.Q22.jvet10.ai</t>
  </si>
  <si>
    <t>FoodMarket4.Q27.jvet10.ai</t>
  </si>
  <si>
    <t>FoodMarket4.Q32.jvet10.ai</t>
  </si>
  <si>
    <t>FoodMarket4.Q37.jvet10.ai</t>
  </si>
  <si>
    <t>CatRobot1.Q22.jvet10.ai</t>
  </si>
  <si>
    <t>CatRobot1.Q27.jvet10.ai</t>
  </si>
  <si>
    <t>CatRobot1.Q32.jvet10.ai</t>
  </si>
  <si>
    <t>CatRobot1.Q37.jvet10.ai</t>
  </si>
  <si>
    <t>ParkRunning3.Q22.jvet10.ai</t>
  </si>
  <si>
    <t>ParkRunning3.Q27.jvet10.ai</t>
  </si>
  <si>
    <t>ParkRunning3.Q32.jvet10.ai</t>
  </si>
  <si>
    <t>ParkRunning3.Q37.jvet10.ai</t>
  </si>
  <si>
    <t>MarketPlace.Q22.jvet10.ai</t>
  </si>
  <si>
    <t>MarketPlace.Q27.jvet10.ai</t>
  </si>
  <si>
    <t>MarketPlace.Q32.jvet10.ai</t>
  </si>
  <si>
    <t>MarketPlace.Q37.jvet10.ai</t>
  </si>
  <si>
    <t>RitualDance.Q22.jvet10.ai</t>
  </si>
  <si>
    <t>RitualDance.Q27.jvet10.ai</t>
  </si>
  <si>
    <t>RitualDance.Q32.jvet10.ai</t>
  </si>
  <si>
    <t>RitualDance.Q37.jvet10.ai</t>
  </si>
  <si>
    <t>FoodMarket4.Q22.jvet10.lb</t>
  </si>
  <si>
    <t>FoodMarket4.Q27.jvet10.lb</t>
  </si>
  <si>
    <t>FoodMarket4.Q32.jvet10.lb</t>
  </si>
  <si>
    <t>FoodMarket4.Q37.jvet10.lb</t>
  </si>
  <si>
    <t>CatRobot1.Q22.jvet10.ra</t>
  </si>
  <si>
    <t>CatRobot1.Q27.jvet10.ra</t>
  </si>
  <si>
    <t>CatRobot1.Q32.jvet10.ra</t>
  </si>
  <si>
    <t>CatRobot1.Q37.jvet10.ra</t>
  </si>
  <si>
    <t>ParkRunning3.Q22.jvet10.ra</t>
  </si>
  <si>
    <t>ParkRunning3.Q27.jvet10.ra</t>
  </si>
  <si>
    <t>ParkRunning3.Q32.jvet10.ra</t>
  </si>
  <si>
    <t>ParkRunning3.Q37.jvet10.ra</t>
  </si>
  <si>
    <t>FoodMarket4.Q22.jvet10.ra</t>
  </si>
  <si>
    <t>FoodMarket4.Q27.jvet10.ra</t>
  </si>
  <si>
    <t>FoodMarket4.Q32.jvet10.ra</t>
  </si>
  <si>
    <t>FoodMarket4.Q37.jvet10.ra</t>
  </si>
  <si>
    <t>MarketPlace.Q22.jvet10.ra</t>
  </si>
  <si>
    <t>MarketPlace.Q27.jvet10.ra</t>
  </si>
  <si>
    <t>MarketPlace.Q32.jvet10.ra</t>
  </si>
  <si>
    <t>MarketPlace.Q37.jvet10.ra</t>
  </si>
  <si>
    <t>MarketPlace.Q22.jvet10.lb</t>
  </si>
  <si>
    <t>MarketPlace.Q27.jvet10.lb</t>
  </si>
  <si>
    <t>MarketPlace.Q32.jvet10.lb</t>
  </si>
  <si>
    <t>MarketPlace.Q37.jvet10.lb</t>
  </si>
  <si>
    <t>MarketPlace.Q22.jvet10.lp</t>
  </si>
  <si>
    <t>MarketPlace.Q27.jvet10.lp</t>
  </si>
  <si>
    <t>MarketPlace.Q32.jvet10.lp</t>
  </si>
  <si>
    <t>MarketPlace.Q37.jvet10.lp</t>
  </si>
  <si>
    <t>CatRobot1.Q22.jvet10.lb</t>
  </si>
  <si>
    <t>CatRobot1.Q27.jvet10.lb</t>
  </si>
  <si>
    <t>CatRobot1.Q32.jvet10.lb</t>
  </si>
  <si>
    <t>CatRobot1.Q37.jvet10.lb</t>
  </si>
  <si>
    <t>ParkRunning3.Q22.jvet10.lb</t>
  </si>
  <si>
    <t>ParkRunning3.Q27.jvet10.lb</t>
  </si>
  <si>
    <t>ParkRunning3.Q32.jvet10.lb</t>
  </si>
  <si>
    <t>ParkRunning3.Q37.jvet10.lb</t>
  </si>
  <si>
    <t>RitualDance.Q22.jvet10.ra</t>
  </si>
  <si>
    <t>RitualDance.Q27.jvet10.ra</t>
  </si>
  <si>
    <t>RitualDance.Q32.jvet10.ra</t>
  </si>
  <si>
    <t>RitualDance.Q37.jvet10.ra</t>
  </si>
  <si>
    <t>RitualDance.Q22.jvet10.lb</t>
  </si>
  <si>
    <t>RitualDance.Q27.jvet10.lb</t>
  </si>
  <si>
    <t>RitualDance.Q32.jvet10.lb</t>
  </si>
  <si>
    <t>RitualDance.Q37.jvet10.lb</t>
  </si>
  <si>
    <t>RitualDance.Q22.jvet10.lp</t>
  </si>
  <si>
    <t>RitualDance.Q27.jvet10.lp</t>
  </si>
  <si>
    <t>RitualDance.Q32.jvet10.lp</t>
  </si>
  <si>
    <t>RitualDance.Q37.jvet10.lp</t>
  </si>
  <si>
    <t>FoodMarket4.Q22.jvet10.lp</t>
  </si>
  <si>
    <t>FoodMarket4.Q27.jvet10.lp</t>
  </si>
  <si>
    <t>FoodMarket4.Q32.jvet10.lp</t>
  </si>
  <si>
    <t>FoodMarket4.Q37.jvet10.lp</t>
  </si>
  <si>
    <t>CatRobot1.Q22.jvet10.lp</t>
  </si>
  <si>
    <t>CatRobot1.Q27.jvet10.lp</t>
  </si>
  <si>
    <t>CatRobot1.Q32.jvet10.lp</t>
  </si>
  <si>
    <t>CatRobot1.Q37.jvet10.lp</t>
  </si>
  <si>
    <t>ParkRunning3.Q22.jvet10.lp</t>
  </si>
  <si>
    <t>ParkRunning3.Q27.jvet10.lp</t>
  </si>
  <si>
    <t>ParkRunning3.Q32.jvet10.lp</t>
  </si>
  <si>
    <t>VTM-1.0</t>
  </si>
  <si>
    <t>Campfire</t>
  </si>
  <si>
    <t>Cluster information</t>
  </si>
  <si>
    <t>CPU type:</t>
  </si>
  <si>
    <t>Hyperthreading:</t>
  </si>
  <si>
    <t>Turbo mode:</t>
  </si>
  <si>
    <t>Compiler:</t>
  </si>
  <si>
    <t>OS:</t>
  </si>
  <si>
    <t>MD5 SEI:</t>
  </si>
  <si>
    <t>(yes/no)</t>
  </si>
  <si>
    <t>(on/off)</t>
  </si>
  <si>
    <t>(e.g. SSE2)</t>
  </si>
  <si>
    <t>(e.g. Scientific Linux)</t>
  </si>
  <si>
    <t>(e.g. gcc 7.3.1)</t>
  </si>
  <si>
    <t>(e.g. Xeon …)</t>
  </si>
  <si>
    <t>YUV output:</t>
  </si>
  <si>
    <t>SIMD options:</t>
  </si>
  <si>
    <t>Decoding options</t>
  </si>
  <si>
    <t>Bitstream concatenation:</t>
  </si>
  <si>
    <t>BMS macro (VTM decoding)</t>
  </si>
  <si>
    <t>Class F (optional)</t>
  </si>
  <si>
    <t>ArenaOfValor</t>
  </si>
  <si>
    <t>Traing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</si>
</sst>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_ "/>
    <numFmt numFmtId="165" formatCode="0.0%"/>
    <numFmt numFmtId="166" formatCode="0.0"/>
    <numFmt numFmtId="167" formatCode="0.00000%"/>
  </numFmts>
  <fonts count="9">
    <font>
      <sz val="12"/>
      <color theme="1"/>
      <name val="Calibri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Calibri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64" fontId="2" fillId="2" borderId="3" xfId="0" applyNumberFormat="1" applyFont="1" applyFill="1" applyBorder="1"/>
    <xf numFmtId="164" fontId="2" fillId="2" borderId="4" xfId="0" applyNumberFormat="1" applyFont="1" applyFill="1" applyBorder="1"/>
    <xf numFmtId="164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64" fontId="2" fillId="2" borderId="8" xfId="0" applyNumberFormat="1" applyFont="1" applyFill="1" applyBorder="1"/>
    <xf numFmtId="164" fontId="2" fillId="2" borderId="0" xfId="0" applyNumberFormat="1" applyFont="1" applyFill="1" applyBorder="1"/>
    <xf numFmtId="164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64" fontId="2" fillId="2" borderId="11" xfId="0" applyNumberFormat="1" applyFont="1" applyFill="1" applyBorder="1"/>
    <xf numFmtId="164" fontId="2" fillId="2" borderId="12" xfId="0" applyNumberFormat="1" applyFont="1" applyFill="1" applyBorder="1"/>
    <xf numFmtId="164" fontId="2" fillId="2" borderId="13" xfId="0" applyNumberFormat="1" applyFont="1" applyFill="1" applyBorder="1"/>
    <xf numFmtId="10" fontId="2" fillId="0" borderId="0" xfId="0" applyNumberFormat="1" applyFont="1" applyBorder="1"/>
    <xf numFmtId="164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66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65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9" fontId="2" fillId="0" borderId="4" xfId="0" applyNumberFormat="1" applyFont="1" applyBorder="1" applyAlignment="1">
      <alignment horizontal="center" vertical="center"/>
    </xf>
    <xf numFmtId="167" fontId="2" fillId="0" borderId="8" xfId="0" applyNumberFormat="1" applyFont="1" applyBorder="1"/>
    <xf numFmtId="167" fontId="2" fillId="0" borderId="0" xfId="0" applyNumberFormat="1" applyFont="1" applyBorder="1"/>
    <xf numFmtId="167" fontId="2" fillId="0" borderId="9" xfId="0" applyNumberFormat="1" applyFont="1" applyBorder="1"/>
    <xf numFmtId="167" fontId="2" fillId="0" borderId="11" xfId="0" applyNumberFormat="1" applyFont="1" applyBorder="1"/>
    <xf numFmtId="167" fontId="2" fillId="0" borderId="12" xfId="0" applyNumberFormat="1" applyFont="1" applyBorder="1"/>
    <xf numFmtId="167" fontId="2" fillId="0" borderId="13" xfId="0" applyNumberFormat="1" applyFont="1" applyBorder="1"/>
    <xf numFmtId="164" fontId="2" fillId="0" borderId="4" xfId="0" applyNumberFormat="1" applyFont="1" applyBorder="1"/>
    <xf numFmtId="164" fontId="2" fillId="0" borderId="0" xfId="0" applyNumberFormat="1" applyFont="1" applyBorder="1"/>
    <xf numFmtId="164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0" fontId="2" fillId="0" borderId="11" xfId="0" applyNumberFormat="1" applyFont="1" applyBorder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9" fontId="2" fillId="0" borderId="12" xfId="0" applyNumberFormat="1" applyFont="1" applyBorder="1" applyAlignment="1">
      <alignment horizontal="center" vertical="center"/>
    </xf>
    <xf numFmtId="9" fontId="2" fillId="0" borderId="13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0" fontId="6" fillId="0" borderId="0" xfId="0" applyFont="1"/>
    <xf numFmtId="165" fontId="2" fillId="0" borderId="6" xfId="0" applyNumberFormat="1" applyFont="1" applyBorder="1" applyAlignment="1">
      <alignment horizontal="center" vertical="center"/>
    </xf>
    <xf numFmtId="165" fontId="2" fillId="0" borderId="3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17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165" fontId="2" fillId="0" borderId="19" xfId="0" applyNumberFormat="1" applyFont="1" applyBorder="1" applyAlignment="1">
      <alignment horizontal="center" vertical="center"/>
    </xf>
    <xf numFmtId="165" fontId="3" fillId="0" borderId="6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6"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Percent" xfId="1" builtinId="5"/>
  </cellStyles>
  <dxfs count="123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33931.735500000003</c:v>
                </c:pt>
                <c:pt idx="1">
                  <c:v>9212.3101999999999</c:v>
                </c:pt>
                <c:pt idx="2">
                  <c:v>4539.1868999999997</c:v>
                </c:pt>
                <c:pt idx="3">
                  <c:v>2510.9061000000002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40.271000000000001</c:v>
                </c:pt>
                <c:pt idx="1">
                  <c:v>39.5336</c:v>
                </c:pt>
                <c:pt idx="2">
                  <c:v>38.622</c:v>
                </c:pt>
                <c:pt idx="3">
                  <c:v>37.225099999999998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34511.373099999997</c:v>
                </c:pt>
                <c:pt idx="1">
                  <c:v>9292.1257000000005</c:v>
                </c:pt>
                <c:pt idx="2">
                  <c:v>4538.6400000000003</c:v>
                </c:pt>
                <c:pt idx="3">
                  <c:v>2506.2465000000002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40.289900000000003</c:v>
                </c:pt>
                <c:pt idx="1">
                  <c:v>39.543399999999998</c:v>
                </c:pt>
                <c:pt idx="2">
                  <c:v>38.636499999999998</c:v>
                </c:pt>
                <c:pt idx="3">
                  <c:v>37.240400000000001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801336"/>
        <c:axId val="2145096440"/>
      </c:scatterChart>
      <c:valAx>
        <c:axId val="-212380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5096440"/>
        <c:crosses val="autoZero"/>
        <c:crossBetween val="midCat"/>
      </c:valAx>
      <c:valAx>
        <c:axId val="2145096440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8013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33931.735500000003</c:v>
                </c:pt>
                <c:pt idx="1">
                  <c:v>9212.3101999999999</c:v>
                </c:pt>
                <c:pt idx="2">
                  <c:v>4539.1868999999997</c:v>
                </c:pt>
                <c:pt idx="3">
                  <c:v>2510.9061000000002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48.946199999999997</c:v>
                </c:pt>
                <c:pt idx="1">
                  <c:v>48.122999999999998</c:v>
                </c:pt>
                <c:pt idx="2">
                  <c:v>47.089199999999998</c:v>
                </c:pt>
                <c:pt idx="3">
                  <c:v>46.015999999999998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34511.373099999997</c:v>
                </c:pt>
                <c:pt idx="1">
                  <c:v>9292.1257000000005</c:v>
                </c:pt>
                <c:pt idx="2">
                  <c:v>4538.6400000000003</c:v>
                </c:pt>
                <c:pt idx="3">
                  <c:v>2506.2465000000002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48.949399999999997</c:v>
                </c:pt>
                <c:pt idx="1">
                  <c:v>48.129199999999997</c:v>
                </c:pt>
                <c:pt idx="2">
                  <c:v>47.091700000000003</c:v>
                </c:pt>
                <c:pt idx="3">
                  <c:v>46.0274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122280"/>
        <c:axId val="-2125129048"/>
      </c:scatterChart>
      <c:valAx>
        <c:axId val="-2125122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5129048"/>
        <c:crosses val="autoZero"/>
        <c:crossBetween val="midCat"/>
      </c:valAx>
      <c:valAx>
        <c:axId val="-2125129048"/>
        <c:scaling>
          <c:orientation val="minMax"/>
          <c:max val="49.5"/>
          <c:min val="4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51222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33931.735500000003</c:v>
                </c:pt>
                <c:pt idx="1">
                  <c:v>9212.3101999999999</c:v>
                </c:pt>
                <c:pt idx="2">
                  <c:v>4539.1868999999997</c:v>
                </c:pt>
                <c:pt idx="3">
                  <c:v>2510.9061000000002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47.110300000000002</c:v>
                </c:pt>
                <c:pt idx="1">
                  <c:v>45.898200000000003</c:v>
                </c:pt>
                <c:pt idx="2">
                  <c:v>44.553600000000003</c:v>
                </c:pt>
                <c:pt idx="3">
                  <c:v>43.2211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34511.373099999997</c:v>
                </c:pt>
                <c:pt idx="1">
                  <c:v>9292.1257000000005</c:v>
                </c:pt>
                <c:pt idx="2">
                  <c:v>4538.6400000000003</c:v>
                </c:pt>
                <c:pt idx="3">
                  <c:v>2506.2465000000002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47.113100000000003</c:v>
                </c:pt>
                <c:pt idx="1">
                  <c:v>45.893500000000003</c:v>
                </c:pt>
                <c:pt idx="2">
                  <c:v>44.552199999999999</c:v>
                </c:pt>
                <c:pt idx="3">
                  <c:v>43.2196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582424"/>
        <c:axId val="-2125102120"/>
      </c:scatterChart>
      <c:valAx>
        <c:axId val="-2124582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5102120"/>
        <c:crosses val="autoZero"/>
        <c:crossBetween val="midCat"/>
      </c:valAx>
      <c:valAx>
        <c:axId val="-2125102120"/>
        <c:scaling>
          <c:orientation val="minMax"/>
          <c:max val="47.5"/>
          <c:min val="4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458242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VTM-1.0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33931.735500000003</c:v>
                </c:pt>
                <c:pt idx="1">
                  <c:v>9212.3101999999999</c:v>
                </c:pt>
                <c:pt idx="2">
                  <c:v>4539.1868999999997</c:v>
                </c:pt>
                <c:pt idx="3">
                  <c:v>2510.9061000000002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40.271000000000001</c:v>
                </c:pt>
                <c:pt idx="1">
                  <c:v>39.5336</c:v>
                </c:pt>
                <c:pt idx="2">
                  <c:v>38.622</c:v>
                </c:pt>
                <c:pt idx="3">
                  <c:v>37.225099999999998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34511.373099999997</c:v>
                </c:pt>
                <c:pt idx="1">
                  <c:v>9292.1257000000005</c:v>
                </c:pt>
                <c:pt idx="2">
                  <c:v>4538.6400000000003</c:v>
                </c:pt>
                <c:pt idx="3">
                  <c:v>2506.2465000000002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40.289900000000003</c:v>
                </c:pt>
                <c:pt idx="1">
                  <c:v>39.543399999999998</c:v>
                </c:pt>
                <c:pt idx="2">
                  <c:v>38.636499999999998</c:v>
                </c:pt>
                <c:pt idx="3">
                  <c:v>37.240400000000001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73272"/>
        <c:axId val="-2123880856"/>
      </c:scatterChart>
      <c:valAx>
        <c:axId val="2144473272"/>
        <c:scaling>
          <c:logBase val="10"/>
          <c:orientation val="minMax"/>
          <c:max val="100000"/>
          <c:min val="10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880856"/>
        <c:crosses val="autoZero"/>
        <c:crossBetween val="midCat"/>
      </c:valAx>
      <c:valAx>
        <c:axId val="-2123880856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44732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Tango2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Tango2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Tango2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Tango2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48"/>
  <sheetViews>
    <sheetView workbookViewId="0">
      <selection activeCell="C22" sqref="C22"/>
    </sheetView>
  </sheetViews>
  <sheetFormatPr defaultColWidth="10.875" defaultRowHeight="12"/>
  <cols>
    <col min="1" max="1" width="4.125" style="1" customWidth="1"/>
    <col min="2" max="2" width="13.625" style="77" customWidth="1"/>
    <col min="3" max="7" width="8.875" style="77" customWidth="1"/>
    <col min="8" max="8" width="10.875" style="1"/>
    <col min="9" max="9" width="20.625" style="1" customWidth="1"/>
    <col min="10" max="16384" width="10.875" style="1"/>
  </cols>
  <sheetData>
    <row r="1" spans="2:18" ht="12.75" thickBot="1"/>
    <row r="2" spans="2:18" ht="12.75" customHeight="1" thickBot="1">
      <c r="C2" s="121" t="s">
        <v>68</v>
      </c>
      <c r="D2" s="122"/>
      <c r="E2" s="122"/>
      <c r="F2" s="122"/>
      <c r="G2" s="123"/>
      <c r="I2" s="28"/>
      <c r="J2" s="28"/>
    </row>
    <row r="3" spans="2:18" ht="12.75" customHeight="1">
      <c r="C3" s="118" t="str">
        <f>CONCATENATE("Over ", $J$3)</f>
        <v>Over VTM-1.0</v>
      </c>
      <c r="D3" s="119"/>
      <c r="E3" s="119"/>
      <c r="F3" s="119"/>
      <c r="G3" s="120"/>
      <c r="I3" s="28" t="s">
        <v>27</v>
      </c>
      <c r="J3" s="28" t="s">
        <v>502</v>
      </c>
    </row>
    <row r="4" spans="2:18" ht="12.75" customHeight="1" thickBot="1">
      <c r="C4" s="62" t="s">
        <v>21</v>
      </c>
      <c r="D4" s="63" t="s">
        <v>22</v>
      </c>
      <c r="E4" s="64" t="s">
        <v>23</v>
      </c>
      <c r="F4" s="65" t="s">
        <v>40</v>
      </c>
      <c r="G4" s="66" t="s">
        <v>41</v>
      </c>
      <c r="I4" s="28" t="s">
        <v>28</v>
      </c>
      <c r="J4" s="28" t="s">
        <v>414</v>
      </c>
    </row>
    <row r="5" spans="2:18" ht="12.75" customHeight="1">
      <c r="B5" s="109" t="s">
        <v>72</v>
      </c>
      <c r="C5" s="110">
        <f>'AI-10'!V107</f>
        <v>-2.967502050498198E-2</v>
      </c>
      <c r="D5" s="111">
        <f>'AI-10'!W107</f>
        <v>-1.5599452141218087E-2</v>
      </c>
      <c r="E5" s="112">
        <f>'AI-10'!X107</f>
        <v>-1.446549950953202E-2</v>
      </c>
      <c r="F5" s="70">
        <f>'AI-10'!S107</f>
        <v>2.1512221015211921</v>
      </c>
      <c r="G5" s="71">
        <f>'AI-10'!T107</f>
        <v>1.4316768287563502</v>
      </c>
      <c r="H5" s="25"/>
      <c r="J5" s="28"/>
    </row>
    <row r="6" spans="2:18" ht="12.75" customHeight="1">
      <c r="B6" s="113" t="s">
        <v>73</v>
      </c>
      <c r="C6" s="114">
        <f>'AI-10'!V108</f>
        <v>-2.6389161207695005E-2</v>
      </c>
      <c r="D6" s="115">
        <f>'AI-10'!W108</f>
        <v>-1.6339981266286812E-2</v>
      </c>
      <c r="E6" s="116">
        <f>'AI-10'!X108</f>
        <v>-1.6017862922260706E-2</v>
      </c>
      <c r="F6" s="75">
        <f>'AI-10'!S108</f>
        <v>2.1145273554911337</v>
      </c>
      <c r="G6" s="76">
        <f>'AI-10'!T108</f>
        <v>1.3777128293635883</v>
      </c>
      <c r="H6" s="25"/>
      <c r="J6" s="28"/>
    </row>
    <row r="7" spans="2:18" ht="12.75" customHeight="1">
      <c r="B7" s="113" t="s">
        <v>1</v>
      </c>
      <c r="C7" s="114">
        <f>'AI-10'!V109</f>
        <v>-2.7761056408309726E-2</v>
      </c>
      <c r="D7" s="115">
        <f>'AI-10'!W109</f>
        <v>-1.4758931423960453E-2</v>
      </c>
      <c r="E7" s="116">
        <f>'AI-10'!X109</f>
        <v>-1.4467164934157584E-2</v>
      </c>
      <c r="F7" s="75">
        <f>'AI-10'!S109</f>
        <v>2.1752518011187409</v>
      </c>
      <c r="G7" s="76">
        <f>'AI-10'!T109</f>
        <v>1.3001499743999843</v>
      </c>
      <c r="H7" s="25"/>
    </row>
    <row r="8" spans="2:18" ht="12.75" customHeight="1">
      <c r="B8" s="113" t="s">
        <v>5</v>
      </c>
      <c r="C8" s="114">
        <f>'AI-10'!V110</f>
        <v>-2.1059774633232192E-2</v>
      </c>
      <c r="D8" s="115">
        <f>'AI-10'!W110</f>
        <v>-1.0156890126258034E-2</v>
      </c>
      <c r="E8" s="116">
        <f>'AI-10'!X110</f>
        <v>-1.221623879096137E-2</v>
      </c>
      <c r="F8" s="75">
        <f>'AI-10'!S110</f>
        <v>2.1010886947750227</v>
      </c>
      <c r="G8" s="76">
        <f>'AI-10'!T110</f>
        <v>1.1322837768140763</v>
      </c>
      <c r="H8" s="25"/>
    </row>
    <row r="9" spans="2:18" ht="12.75" customHeight="1" thickBot="1">
      <c r="B9" s="113" t="s">
        <v>7</v>
      </c>
      <c r="C9" s="114">
        <f>'AI-10'!V112</f>
        <v>-3.3044970381082596E-2</v>
      </c>
      <c r="D9" s="115">
        <f>'AI-10'!W112</f>
        <v>-2.1770586630507016E-2</v>
      </c>
      <c r="E9" s="116">
        <f>'AI-10'!X112</f>
        <v>-2.2563240393899786E-2</v>
      </c>
      <c r="F9" s="75">
        <f>'AI-10'!S112</f>
        <v>2.0806404507059111</v>
      </c>
      <c r="G9" s="76">
        <f>'AI-10'!T112</f>
        <v>1.380260408835229</v>
      </c>
      <c r="H9" s="25"/>
    </row>
    <row r="10" spans="2:18" s="20" customFormat="1" ht="12.75" customHeight="1" thickBot="1">
      <c r="B10" s="117" t="s">
        <v>69</v>
      </c>
      <c r="C10" s="110">
        <f>'AI-10'!V114</f>
        <v>-2.7242879825319786E-2</v>
      </c>
      <c r="D10" s="111">
        <f>'AI-10'!W114</f>
        <v>-1.5308459874381675E-2</v>
      </c>
      <c r="E10" s="112">
        <f>'AI-10'!X114</f>
        <v>-1.5574477128428386E-2</v>
      </c>
      <c r="F10" s="70">
        <f>'AI-10'!S114</f>
        <v>2.1285779383175956</v>
      </c>
      <c r="G10" s="71">
        <f>'AI-10'!T114</f>
        <v>1.3066191910263538</v>
      </c>
      <c r="H10" s="25"/>
      <c r="I10" s="38" t="s">
        <v>26</v>
      </c>
    </row>
    <row r="11" spans="2:18" s="20" customFormat="1" ht="12.75" customHeight="1">
      <c r="B11" s="110" t="s">
        <v>6</v>
      </c>
      <c r="C11" s="110">
        <f>'AI-10'!V111</f>
        <v>-2.0033471619508358E-2</v>
      </c>
      <c r="D11" s="111">
        <f>'AI-10'!W111</f>
        <v>-7.9377537837191092E-3</v>
      </c>
      <c r="E11" s="112">
        <f>'AI-10'!X111</f>
        <v>-7.7165186579377376E-3</v>
      </c>
      <c r="F11" s="81">
        <f>'AI-10'!S111</f>
        <v>2.1012375982045839</v>
      </c>
      <c r="G11" s="71">
        <f>'AI-10'!T111</f>
        <v>1.2157520926567935</v>
      </c>
      <c r="H11" s="25"/>
      <c r="I11" s="38"/>
    </row>
    <row r="12" spans="2:18" ht="12.75" customHeight="1" thickBot="1">
      <c r="B12" s="62" t="s">
        <v>522</v>
      </c>
      <c r="C12" s="103" t="e">
        <f>'AI-10'!V113</f>
        <v>#VALUE!</v>
      </c>
      <c r="D12" s="104" t="e">
        <f>'AI-10'!W113</f>
        <v>#VALUE!</v>
      </c>
      <c r="E12" s="107" t="e">
        <f>'AI-10'!X113</f>
        <v>#VALUE!</v>
      </c>
      <c r="F12" s="105" t="e">
        <f>'AI-10'!S113</f>
        <v>#DIV/0!</v>
      </c>
      <c r="G12" s="106" t="e">
        <f>'AI-10'!T113</f>
        <v>#DIV/0!</v>
      </c>
      <c r="H12" s="25"/>
    </row>
    <row r="13" spans="2:18" ht="12.75" customHeight="1" thickBot="1">
      <c r="I13" s="108" t="s">
        <v>504</v>
      </c>
    </row>
    <row r="14" spans="2:18" ht="12.75" customHeight="1" thickBot="1">
      <c r="C14" s="121" t="s">
        <v>45</v>
      </c>
      <c r="D14" s="122"/>
      <c r="E14" s="122"/>
      <c r="F14" s="122"/>
      <c r="G14" s="123"/>
      <c r="J14" s="28"/>
    </row>
    <row r="15" spans="2:18" ht="12.75" customHeight="1">
      <c r="C15" s="118" t="str">
        <f>CONCATENATE("Over ", $J$3)</f>
        <v>Over VTM-1.0</v>
      </c>
      <c r="D15" s="119"/>
      <c r="E15" s="119"/>
      <c r="F15" s="119"/>
      <c r="G15" s="120"/>
      <c r="I15" s="28" t="s">
        <v>505</v>
      </c>
      <c r="J15" s="1" t="s">
        <v>516</v>
      </c>
    </row>
    <row r="16" spans="2:18" ht="12.75" customHeight="1" thickBot="1">
      <c r="C16" s="62" t="s">
        <v>21</v>
      </c>
      <c r="D16" s="63" t="s">
        <v>22</v>
      </c>
      <c r="E16" s="64" t="s">
        <v>23</v>
      </c>
      <c r="F16" s="65" t="s">
        <v>40</v>
      </c>
      <c r="G16" s="66" t="s">
        <v>41</v>
      </c>
      <c r="I16" s="28"/>
      <c r="J16" s="40"/>
      <c r="K16" s="40"/>
      <c r="L16" s="40"/>
      <c r="M16" s="40"/>
      <c r="N16" s="40"/>
      <c r="O16" s="40"/>
      <c r="P16" s="40"/>
      <c r="Q16" s="40"/>
      <c r="R16" s="40"/>
    </row>
    <row r="17" spans="2:18" ht="12.75" customHeight="1">
      <c r="B17" s="78" t="str">
        <f>B5</f>
        <v>Class A1</v>
      </c>
      <c r="C17" s="67">
        <f>'RA-10'!V107</f>
        <v>-1.0431733233195462E-2</v>
      </c>
      <c r="D17" s="68">
        <f>'RA-10'!W107</f>
        <v>6.5251589302069612E-4</v>
      </c>
      <c r="E17" s="69">
        <f>'RA-10'!X107</f>
        <v>1.2958657687897057E-3</v>
      </c>
      <c r="F17" s="70">
        <f>'RA-10'!S107</f>
        <v>1.305738440163448</v>
      </c>
      <c r="G17" s="71">
        <f>'RA-10'!T107</f>
        <v>1.0581159931119868</v>
      </c>
      <c r="H17" s="25"/>
      <c r="I17" s="28" t="s">
        <v>506</v>
      </c>
      <c r="J17" s="40" t="s">
        <v>512</v>
      </c>
      <c r="K17" s="40"/>
      <c r="L17" s="40"/>
      <c r="M17" s="40"/>
      <c r="N17" s="40"/>
      <c r="O17" s="40"/>
      <c r="P17" s="40"/>
      <c r="Q17" s="40"/>
      <c r="R17" s="40"/>
    </row>
    <row r="18" spans="2:18" ht="12.75" customHeight="1">
      <c r="B18" s="79" t="str">
        <f>B6</f>
        <v>Class A2</v>
      </c>
      <c r="C18" s="72">
        <f>'RA-10'!V108</f>
        <v>-1.6626382552257863E-2</v>
      </c>
      <c r="D18" s="73">
        <f>'RA-10'!W108</f>
        <v>-2.7688609573922238E-3</v>
      </c>
      <c r="E18" s="74">
        <f>'RA-10'!X108</f>
        <v>-1.3334635728329269E-3</v>
      </c>
      <c r="F18" s="75">
        <f>'RA-10'!S108</f>
        <v>1.3196285260549574</v>
      </c>
      <c r="G18" s="76">
        <f>'RA-10'!T108</f>
        <v>0.94961812668863088</v>
      </c>
      <c r="H18" s="25"/>
      <c r="I18" s="28" t="s">
        <v>507</v>
      </c>
      <c r="J18" s="40" t="s">
        <v>512</v>
      </c>
      <c r="K18" s="40"/>
      <c r="L18" s="40"/>
      <c r="M18" s="40"/>
      <c r="N18" s="40"/>
      <c r="O18" s="40"/>
      <c r="P18" s="40"/>
      <c r="Q18" s="40"/>
      <c r="R18" s="40"/>
    </row>
    <row r="19" spans="2:18" ht="12.75" customHeight="1">
      <c r="B19" s="79" t="str">
        <f>B7</f>
        <v>Class B</v>
      </c>
      <c r="C19" s="72">
        <f>'RA-10'!V109</f>
        <v>-1.588628799228773E-2</v>
      </c>
      <c r="D19" s="73">
        <f>'RA-10'!W109</f>
        <v>-1.8455728872281529E-3</v>
      </c>
      <c r="E19" s="74">
        <f>'RA-10'!X109</f>
        <v>-1.3381481814285002E-3</v>
      </c>
      <c r="F19" s="75">
        <f>'RA-10'!S109</f>
        <v>1.3710473707685997</v>
      </c>
      <c r="G19" s="76">
        <f>'RA-10'!T109</f>
        <v>1.0205149826415407</v>
      </c>
      <c r="H19" s="25"/>
    </row>
    <row r="20" spans="2:18" ht="12.75" customHeight="1">
      <c r="B20" s="79" t="str">
        <f>B8</f>
        <v>Class C</v>
      </c>
      <c r="C20" s="72">
        <f>'RA-10'!V110</f>
        <v>-9.5336603381240836E-3</v>
      </c>
      <c r="D20" s="73">
        <f>'RA-10'!W110</f>
        <v>3.0644774826467103E-3</v>
      </c>
      <c r="E20" s="74">
        <f>'RA-10'!X110</f>
        <v>1.6892082485173432E-3</v>
      </c>
      <c r="F20" s="75">
        <f>'RA-10'!S110</f>
        <v>1.4061429704125559</v>
      </c>
      <c r="G20" s="76">
        <f>'RA-10'!T110</f>
        <v>1.018309885272433</v>
      </c>
      <c r="H20" s="25"/>
      <c r="I20" s="28" t="s">
        <v>508</v>
      </c>
      <c r="J20" s="1" t="s">
        <v>515</v>
      </c>
    </row>
    <row r="21" spans="2:18" ht="12.75" customHeight="1" thickBot="1">
      <c r="B21" s="79" t="str">
        <f t="shared" ref="B21" si="0">B9</f>
        <v>Class E</v>
      </c>
      <c r="C21" s="72"/>
      <c r="D21" s="73"/>
      <c r="E21" s="74"/>
      <c r="F21" s="75"/>
      <c r="G21" s="76"/>
      <c r="H21" s="25"/>
    </row>
    <row r="22" spans="2:18" ht="12.75" customHeight="1" thickBot="1">
      <c r="B22" s="100" t="s">
        <v>415</v>
      </c>
      <c r="C22" s="67">
        <f>'RA-10'!V114</f>
        <v>-1.5257652400322822E-2</v>
      </c>
      <c r="D22" s="68">
        <f>'RA-10'!W114</f>
        <v>-1.7880787609091768E-3</v>
      </c>
      <c r="E22" s="69">
        <f>'RA-10'!X114</f>
        <v>-1.4654126999109434E-3</v>
      </c>
      <c r="F22" s="70">
        <f>'RA-10'!S114</f>
        <v>1.3679785972687784</v>
      </c>
      <c r="G22" s="71">
        <f>'RA-10'!T114</f>
        <v>1.0149651222514964</v>
      </c>
      <c r="H22" s="25"/>
      <c r="I22" s="28" t="s">
        <v>509</v>
      </c>
      <c r="J22" s="39" t="s">
        <v>514</v>
      </c>
      <c r="K22" s="39"/>
      <c r="L22" s="39"/>
      <c r="M22" s="39"/>
      <c r="N22" s="39"/>
      <c r="O22" s="39"/>
      <c r="P22" s="39"/>
      <c r="Q22" s="39"/>
      <c r="R22" s="39"/>
    </row>
    <row r="23" spans="2:18" ht="12.75" customHeight="1">
      <c r="B23" s="78" t="str">
        <f>B11</f>
        <v>Class D</v>
      </c>
      <c r="C23" s="67">
        <f>'RA-10'!V111</f>
        <v>-8.2599665956789581E-3</v>
      </c>
      <c r="D23" s="68">
        <f>'RA-10'!W111</f>
        <v>3.8295969970940091E-3</v>
      </c>
      <c r="E23" s="69">
        <f>'RA-10'!X111</f>
        <v>3.8296149446878369E-3</v>
      </c>
      <c r="F23" s="81">
        <f>'RA-10'!S111</f>
        <v>1.4274700747000884</v>
      </c>
      <c r="G23" s="71">
        <f>'RA-10'!T111</f>
        <v>1.0281325769577012</v>
      </c>
      <c r="H23" s="25"/>
      <c r="J23" s="39"/>
      <c r="K23" s="39"/>
      <c r="L23" s="39"/>
      <c r="M23" s="39"/>
      <c r="N23" s="39"/>
      <c r="O23" s="39"/>
      <c r="P23" s="39"/>
      <c r="Q23" s="39"/>
      <c r="R23" s="39"/>
    </row>
    <row r="24" spans="2:18" ht="12.75" customHeight="1" thickBot="1">
      <c r="B24" s="101" t="str">
        <f>B12</f>
        <v>Class F (optional)</v>
      </c>
      <c r="C24" s="103" t="e">
        <f>'RA-10'!V113</f>
        <v>#VALUE!</v>
      </c>
      <c r="D24" s="104" t="e">
        <f>'RA-10'!W113</f>
        <v>#VALUE!</v>
      </c>
      <c r="E24" s="107" t="e">
        <f>'RA-10'!X113</f>
        <v>#VALUE!</v>
      </c>
      <c r="F24" s="105" t="e">
        <f>'RA-10'!S113</f>
        <v>#DIV/0!</v>
      </c>
      <c r="G24" s="106" t="e">
        <f>'RA-10'!T113</f>
        <v>#DIV/0!</v>
      </c>
      <c r="H24" s="25"/>
      <c r="I24" s="108" t="s">
        <v>519</v>
      </c>
    </row>
    <row r="25" spans="2:18" ht="12.75" customHeight="1" thickBot="1">
      <c r="C25" s="1"/>
      <c r="D25" s="1"/>
      <c r="E25" s="1"/>
      <c r="F25" s="1"/>
      <c r="G25" s="1"/>
    </row>
    <row r="26" spans="2:18" ht="12.75" customHeight="1" thickBot="1">
      <c r="C26" s="121" t="s">
        <v>70</v>
      </c>
      <c r="D26" s="122"/>
      <c r="E26" s="122"/>
      <c r="F26" s="122"/>
      <c r="G26" s="123"/>
      <c r="I26" s="28" t="s">
        <v>520</v>
      </c>
      <c r="J26" s="1" t="s">
        <v>511</v>
      </c>
    </row>
    <row r="27" spans="2:18" ht="12.75" customHeight="1">
      <c r="C27" s="118" t="str">
        <f>CONCATENATE("Over ", $J$3)</f>
        <v>Over VTM-1.0</v>
      </c>
      <c r="D27" s="119"/>
      <c r="E27" s="119"/>
      <c r="F27" s="119"/>
      <c r="G27" s="120"/>
    </row>
    <row r="28" spans="2:18" ht="12.75" customHeight="1" thickBot="1">
      <c r="C28" s="62" t="s">
        <v>21</v>
      </c>
      <c r="D28" s="63" t="s">
        <v>22</v>
      </c>
      <c r="E28" s="64" t="s">
        <v>23</v>
      </c>
      <c r="F28" s="65" t="s">
        <v>40</v>
      </c>
      <c r="G28" s="66" t="s">
        <v>41</v>
      </c>
      <c r="I28" s="28" t="s">
        <v>510</v>
      </c>
      <c r="J28" s="1" t="s">
        <v>511</v>
      </c>
    </row>
    <row r="29" spans="2:18" ht="12.75" customHeight="1">
      <c r="B29" s="78" t="str">
        <f>B5</f>
        <v>Class A1</v>
      </c>
      <c r="C29" s="67"/>
      <c r="D29" s="68"/>
      <c r="E29" s="69"/>
      <c r="F29" s="70"/>
      <c r="G29" s="71"/>
      <c r="H29" s="25"/>
      <c r="I29" s="28" t="s">
        <v>517</v>
      </c>
      <c r="J29" s="1" t="s">
        <v>511</v>
      </c>
    </row>
    <row r="30" spans="2:18" ht="12.75" customHeight="1">
      <c r="B30" s="79" t="str">
        <f>B6</f>
        <v>Class A2</v>
      </c>
      <c r="C30" s="72"/>
      <c r="D30" s="73"/>
      <c r="E30" s="74"/>
      <c r="F30" s="75"/>
      <c r="G30" s="76"/>
      <c r="H30" s="25"/>
    </row>
    <row r="31" spans="2:18" ht="12.75" customHeight="1">
      <c r="B31" s="79" t="str">
        <f>B7</f>
        <v>Class B</v>
      </c>
      <c r="C31" s="72" t="e">
        <f>'LDB-10'!V109</f>
        <v>#VALUE!</v>
      </c>
      <c r="D31" s="73" t="e">
        <f>'LDB-10'!W109</f>
        <v>#VALUE!</v>
      </c>
      <c r="E31" s="74" t="e">
        <f>'LDB-10'!X109</f>
        <v>#VALUE!</v>
      </c>
      <c r="F31" s="75" t="e">
        <f>'LDB-10'!S109</f>
        <v>#DIV/0!</v>
      </c>
      <c r="G31" s="76" t="e">
        <f>'LDB-10'!T109</f>
        <v>#DIV/0!</v>
      </c>
      <c r="H31" s="25"/>
      <c r="I31" s="28" t="s">
        <v>518</v>
      </c>
      <c r="J31" s="1" t="s">
        <v>513</v>
      </c>
    </row>
    <row r="32" spans="2:18" ht="12.75" customHeight="1">
      <c r="B32" s="79" t="str">
        <f>B8</f>
        <v>Class C</v>
      </c>
      <c r="C32" s="72" t="e">
        <f>'LDB-10'!V110</f>
        <v>#VALUE!</v>
      </c>
      <c r="D32" s="73" t="e">
        <f>'LDB-10'!W110</f>
        <v>#VALUE!</v>
      </c>
      <c r="E32" s="74" t="e">
        <f>'LDB-10'!X110</f>
        <v>#VALUE!</v>
      </c>
      <c r="F32" s="75" t="e">
        <f>'LDB-10'!S110</f>
        <v>#DIV/0!</v>
      </c>
      <c r="G32" s="76" t="e">
        <f>'LDB-10'!T110</f>
        <v>#DIV/0!</v>
      </c>
      <c r="H32" s="25"/>
    </row>
    <row r="33" spans="2:10" ht="12.75" customHeight="1" thickBot="1">
      <c r="B33" s="79" t="str">
        <f t="shared" ref="B33" si="1">B9</f>
        <v>Class E</v>
      </c>
      <c r="C33" s="72" t="e">
        <f>'LDB-10'!V112</f>
        <v>#VALUE!</v>
      </c>
      <c r="D33" s="73" t="e">
        <f>'LDB-10'!W112</f>
        <v>#VALUE!</v>
      </c>
      <c r="E33" s="74" t="e">
        <f>'LDB-10'!X112</f>
        <v>#VALUE!</v>
      </c>
      <c r="F33" s="75" t="e">
        <f>'LDB-10'!S112</f>
        <v>#DIV/0!</v>
      </c>
      <c r="G33" s="76" t="e">
        <f>'LDB-10'!T112</f>
        <v>#DIV/0!</v>
      </c>
      <c r="H33" s="25"/>
      <c r="I33" s="28" t="s">
        <v>521</v>
      </c>
      <c r="J33" s="40" t="s">
        <v>512</v>
      </c>
    </row>
    <row r="34" spans="2:10" ht="12.75" customHeight="1" thickBot="1">
      <c r="B34" s="100" t="s">
        <v>415</v>
      </c>
      <c r="C34" s="67" t="e">
        <f>'LDB-10'!V114</f>
        <v>#VALUE!</v>
      </c>
      <c r="D34" s="68" t="e">
        <f>'LDB-10'!W114</f>
        <v>#VALUE!</v>
      </c>
      <c r="E34" s="69" t="e">
        <f>'LDB-10'!X114</f>
        <v>#VALUE!</v>
      </c>
      <c r="F34" s="70" t="e">
        <f>'LDB-10'!S114</f>
        <v>#DIV/0!</v>
      </c>
      <c r="G34" s="71" t="e">
        <f>'LDB-10'!T114</f>
        <v>#DIV/0!</v>
      </c>
      <c r="H34" s="25"/>
    </row>
    <row r="35" spans="2:10" ht="12.75" customHeight="1">
      <c r="B35" s="102" t="str">
        <f>B11</f>
        <v>Class D</v>
      </c>
      <c r="C35" s="67" t="e">
        <f>'LDB-10'!V111</f>
        <v>#VALUE!</v>
      </c>
      <c r="D35" s="68" t="e">
        <f>'LDB-10'!W111</f>
        <v>#VALUE!</v>
      </c>
      <c r="E35" s="69" t="e">
        <f>'LDB-10'!X111</f>
        <v>#VALUE!</v>
      </c>
      <c r="F35" s="81" t="e">
        <f>'LDB-10'!S111</f>
        <v>#DIV/0!</v>
      </c>
      <c r="G35" s="71" t="e">
        <f>'LDB-10'!T111</f>
        <v>#DIV/0!</v>
      </c>
      <c r="H35" s="25"/>
    </row>
    <row r="36" spans="2:10" ht="12.75" customHeight="1" thickBot="1">
      <c r="B36" s="62" t="str">
        <f>B12</f>
        <v>Class F (optional)</v>
      </c>
      <c r="C36" s="103" t="e">
        <f>'LDB-10'!V113</f>
        <v>#VALUE!</v>
      </c>
      <c r="D36" s="104" t="e">
        <f>'LDB-10'!W113</f>
        <v>#VALUE!</v>
      </c>
      <c r="E36" s="107" t="e">
        <f>'LDB-10'!X113</f>
        <v>#VALUE!</v>
      </c>
      <c r="F36" s="105" t="e">
        <f>'LDB-10'!S113</f>
        <v>#DIV/0!</v>
      </c>
      <c r="G36" s="106" t="e">
        <f>'LDB-10'!T113</f>
        <v>#DIV/0!</v>
      </c>
      <c r="H36" s="25"/>
    </row>
    <row r="37" spans="2:10" ht="12.75" customHeight="1" thickBot="1">
      <c r="C37" s="1"/>
      <c r="D37" s="1"/>
      <c r="E37" s="1"/>
      <c r="F37" s="1"/>
      <c r="G37" s="1"/>
    </row>
    <row r="38" spans="2:10" ht="12.75" customHeight="1" thickBot="1">
      <c r="C38" s="121" t="s">
        <v>71</v>
      </c>
      <c r="D38" s="122"/>
      <c r="E38" s="122"/>
      <c r="F38" s="122"/>
      <c r="G38" s="123"/>
    </row>
    <row r="39" spans="2:10" ht="12.75" customHeight="1">
      <c r="C39" s="118" t="str">
        <f>CONCATENATE("Over ", $J$3)</f>
        <v>Over VTM-1.0</v>
      </c>
      <c r="D39" s="119"/>
      <c r="E39" s="119"/>
      <c r="F39" s="119"/>
      <c r="G39" s="120"/>
    </row>
    <row r="40" spans="2:10" ht="12.75" customHeight="1" thickBot="1">
      <c r="C40" s="62" t="s">
        <v>21</v>
      </c>
      <c r="D40" s="63" t="s">
        <v>22</v>
      </c>
      <c r="E40" s="64" t="s">
        <v>23</v>
      </c>
      <c r="F40" s="65" t="s">
        <v>40</v>
      </c>
      <c r="G40" s="66" t="s">
        <v>41</v>
      </c>
      <c r="I40" s="28"/>
      <c r="J40" s="28"/>
    </row>
    <row r="41" spans="2:10" ht="12.75" customHeight="1">
      <c r="B41" s="78" t="str">
        <f>B5</f>
        <v>Class A1</v>
      </c>
      <c r="C41" s="67"/>
      <c r="D41" s="68"/>
      <c r="E41" s="69"/>
      <c r="F41" s="70"/>
      <c r="G41" s="71"/>
    </row>
    <row r="42" spans="2:10" ht="12.75" customHeight="1">
      <c r="B42" s="79" t="str">
        <f>B6</f>
        <v>Class A2</v>
      </c>
      <c r="C42" s="72"/>
      <c r="D42" s="73"/>
      <c r="E42" s="74"/>
      <c r="F42" s="75"/>
      <c r="G42" s="76"/>
    </row>
    <row r="43" spans="2:10" ht="12.75" customHeight="1">
      <c r="B43" s="79" t="str">
        <f>B7</f>
        <v>Class B</v>
      </c>
      <c r="C43" s="72" t="e">
        <f>'LDP-10'!V109</f>
        <v>#VALUE!</v>
      </c>
      <c r="D43" s="73" t="e">
        <f>'LDP-10'!W109</f>
        <v>#VALUE!</v>
      </c>
      <c r="E43" s="74" t="e">
        <f>'LDP-10'!X109</f>
        <v>#VALUE!</v>
      </c>
      <c r="F43" s="75" t="e">
        <f>'LDP-10'!S109</f>
        <v>#DIV/0!</v>
      </c>
      <c r="G43" s="76" t="e">
        <f>'LDP-10'!T109</f>
        <v>#DIV/0!</v>
      </c>
    </row>
    <row r="44" spans="2:10" ht="12.75" customHeight="1">
      <c r="B44" s="79" t="str">
        <f>B8</f>
        <v>Class C</v>
      </c>
      <c r="C44" s="72" t="e">
        <f>'LDP-10'!V110</f>
        <v>#VALUE!</v>
      </c>
      <c r="D44" s="73" t="e">
        <f>'LDP-10'!W110</f>
        <v>#VALUE!</v>
      </c>
      <c r="E44" s="74" t="e">
        <f>'LDP-10'!X110</f>
        <v>#VALUE!</v>
      </c>
      <c r="F44" s="75" t="e">
        <f>'LDP-10'!S110</f>
        <v>#DIV/0!</v>
      </c>
      <c r="G44" s="76" t="e">
        <f>'LDP-10'!T110</f>
        <v>#DIV/0!</v>
      </c>
    </row>
    <row r="45" spans="2:10" ht="12.75" customHeight="1" thickBot="1">
      <c r="B45" s="79" t="str">
        <f t="shared" ref="B45" si="2">B9</f>
        <v>Class E</v>
      </c>
      <c r="C45" s="72" t="e">
        <f>'LDP-10'!V112</f>
        <v>#VALUE!</v>
      </c>
      <c r="D45" s="73" t="e">
        <f>'LDP-10'!W112</f>
        <v>#VALUE!</v>
      </c>
      <c r="E45" s="74" t="e">
        <f>'LDP-10'!X112</f>
        <v>#VALUE!</v>
      </c>
      <c r="F45" s="75" t="e">
        <f>'LDP-10'!S112</f>
        <v>#DIV/0!</v>
      </c>
      <c r="G45" s="76" t="e">
        <f>'LDP-10'!T112</f>
        <v>#DIV/0!</v>
      </c>
    </row>
    <row r="46" spans="2:10" ht="12.75" customHeight="1" thickBot="1">
      <c r="B46" s="100" t="s">
        <v>415</v>
      </c>
      <c r="C46" s="67" t="e">
        <f>'LDP-10'!V114</f>
        <v>#VALUE!</v>
      </c>
      <c r="D46" s="68" t="e">
        <f>'LDP-10'!W114</f>
        <v>#VALUE!</v>
      </c>
      <c r="E46" s="69" t="e">
        <f>'LDP-10'!X114</f>
        <v>#VALUE!</v>
      </c>
      <c r="F46" s="70" t="e">
        <f>'LDP-10'!S114</f>
        <v>#DIV/0!</v>
      </c>
      <c r="G46" s="71" t="e">
        <f>'LDP-10'!T114</f>
        <v>#DIV/0!</v>
      </c>
    </row>
    <row r="47" spans="2:10" ht="12.75" customHeight="1">
      <c r="B47" s="102" t="str">
        <f>B11</f>
        <v>Class D</v>
      </c>
      <c r="C47" s="67" t="e">
        <f>'LDP-10'!V111</f>
        <v>#VALUE!</v>
      </c>
      <c r="D47" s="68" t="e">
        <f>'LDP-10'!W111</f>
        <v>#VALUE!</v>
      </c>
      <c r="E47" s="69" t="e">
        <f>'LDP-10'!X111</f>
        <v>#VALUE!</v>
      </c>
      <c r="F47" s="81" t="e">
        <f>'LDP-10'!S111</f>
        <v>#DIV/0!</v>
      </c>
      <c r="G47" s="71" t="e">
        <f>'LDP-10'!T111</f>
        <v>#DIV/0!</v>
      </c>
    </row>
    <row r="48" spans="2:10" ht="12.75" customHeight="1" thickBot="1">
      <c r="B48" s="62" t="str">
        <f>B12</f>
        <v>Class F (optional)</v>
      </c>
      <c r="C48" s="103" t="e">
        <f>'LDP-10'!V113</f>
        <v>#VALUE!</v>
      </c>
      <c r="D48" s="104" t="e">
        <f>'LDP-10'!W113</f>
        <v>#VALUE!</v>
      </c>
      <c r="E48" s="107" t="e">
        <f>'LDP-10'!X113</f>
        <v>#VALUE!</v>
      </c>
      <c r="F48" s="105" t="e">
        <f>'LDP-10'!S113</f>
        <v>#DIV/0!</v>
      </c>
      <c r="G48" s="106" t="e">
        <f>'LDP-10'!T113</f>
        <v>#DIV/0!</v>
      </c>
    </row>
  </sheetData>
  <mergeCells count="8">
    <mergeCell ref="C39:G39"/>
    <mergeCell ref="C3:G3"/>
    <mergeCell ref="C15:G15"/>
    <mergeCell ref="C27:G27"/>
    <mergeCell ref="C2:G2"/>
    <mergeCell ref="C14:G14"/>
    <mergeCell ref="C26:G26"/>
    <mergeCell ref="C38:G38"/>
  </mergeCells>
  <phoneticPr fontId="1" type="noConversion"/>
  <conditionalFormatting sqref="C9:E9 C12:E12">
    <cfRule type="cellIs" dxfId="1235" priority="339" stopIfTrue="1" operator="greaterThan">
      <formula>0.03</formula>
    </cfRule>
    <cfRule type="cellIs" dxfId="1234" priority="340" stopIfTrue="1" operator="lessThan">
      <formula>-0.03</formula>
    </cfRule>
  </conditionalFormatting>
  <conditionalFormatting sqref="C10:E10">
    <cfRule type="cellIs" dxfId="1233" priority="265" stopIfTrue="1" operator="greaterThan">
      <formula>0.03</formula>
    </cfRule>
    <cfRule type="cellIs" dxfId="1232" priority="266" stopIfTrue="1" operator="lessThan">
      <formula>-0.03</formula>
    </cfRule>
  </conditionalFormatting>
  <conditionalFormatting sqref="C5:E5 C7:E8">
    <cfRule type="cellIs" dxfId="1231" priority="263" stopIfTrue="1" operator="greaterThan">
      <formula>0.03</formula>
    </cfRule>
    <cfRule type="cellIs" dxfId="1230" priority="264" stopIfTrue="1" operator="lessThan">
      <formula>-0.03</formula>
    </cfRule>
  </conditionalFormatting>
  <conditionalFormatting sqref="C6:E6">
    <cfRule type="cellIs" dxfId="1229" priority="79" stopIfTrue="1" operator="greaterThan">
      <formula>0.03</formula>
    </cfRule>
    <cfRule type="cellIs" dxfId="1228" priority="80" stopIfTrue="1" operator="lessThan">
      <formula>-0.03</formula>
    </cfRule>
  </conditionalFormatting>
  <conditionalFormatting sqref="C21:E21 C24:E24">
    <cfRule type="cellIs" dxfId="1227" priority="63" stopIfTrue="1" operator="greaterThan">
      <formula>0.03</formula>
    </cfRule>
    <cfRule type="cellIs" dxfId="1226" priority="64" stopIfTrue="1" operator="lessThan">
      <formula>-0.03</formula>
    </cfRule>
  </conditionalFormatting>
  <conditionalFormatting sqref="C22:E22">
    <cfRule type="cellIs" dxfId="1225" priority="61" stopIfTrue="1" operator="greaterThan">
      <formula>0.03</formula>
    </cfRule>
    <cfRule type="cellIs" dxfId="1224" priority="62" stopIfTrue="1" operator="lessThan">
      <formula>-0.03</formula>
    </cfRule>
  </conditionalFormatting>
  <conditionalFormatting sqref="C17:E17 C19:E20">
    <cfRule type="cellIs" dxfId="1223" priority="59" stopIfTrue="1" operator="greaterThan">
      <formula>0.03</formula>
    </cfRule>
    <cfRule type="cellIs" dxfId="1222" priority="60" stopIfTrue="1" operator="lessThan">
      <formula>-0.03</formula>
    </cfRule>
  </conditionalFormatting>
  <conditionalFormatting sqref="C18:E18">
    <cfRule type="cellIs" dxfId="1221" priority="51" stopIfTrue="1" operator="greaterThan">
      <formula>0.03</formula>
    </cfRule>
    <cfRule type="cellIs" dxfId="1220" priority="52" stopIfTrue="1" operator="lessThan">
      <formula>-0.03</formula>
    </cfRule>
  </conditionalFormatting>
  <conditionalFormatting sqref="C33:E33 C36:E36">
    <cfRule type="cellIs" dxfId="1219" priority="47" stopIfTrue="1" operator="greaterThan">
      <formula>0.03</formula>
    </cfRule>
    <cfRule type="cellIs" dxfId="1218" priority="48" stopIfTrue="1" operator="lessThan">
      <formula>-0.03</formula>
    </cfRule>
  </conditionalFormatting>
  <conditionalFormatting sqref="C34:E34">
    <cfRule type="cellIs" dxfId="1217" priority="45" stopIfTrue="1" operator="greaterThan">
      <formula>0.03</formula>
    </cfRule>
    <cfRule type="cellIs" dxfId="1216" priority="46" stopIfTrue="1" operator="lessThan">
      <formula>-0.03</formula>
    </cfRule>
  </conditionalFormatting>
  <conditionalFormatting sqref="C29:E29 C31:E32">
    <cfRule type="cellIs" dxfId="1215" priority="43" stopIfTrue="1" operator="greaterThan">
      <formula>0.03</formula>
    </cfRule>
    <cfRule type="cellIs" dxfId="1214" priority="44" stopIfTrue="1" operator="lessThan">
      <formula>-0.03</formula>
    </cfRule>
  </conditionalFormatting>
  <conditionalFormatting sqref="C30:E30">
    <cfRule type="cellIs" dxfId="1213" priority="35" stopIfTrue="1" operator="greaterThan">
      <formula>0.03</formula>
    </cfRule>
    <cfRule type="cellIs" dxfId="1212" priority="36" stopIfTrue="1" operator="lessThan">
      <formula>-0.03</formula>
    </cfRule>
  </conditionalFormatting>
  <conditionalFormatting sqref="C45:E45 C48:E48">
    <cfRule type="cellIs" dxfId="1211" priority="31" stopIfTrue="1" operator="greaterThan">
      <formula>0.03</formula>
    </cfRule>
    <cfRule type="cellIs" dxfId="1210" priority="32" stopIfTrue="1" operator="lessThan">
      <formula>-0.03</formula>
    </cfRule>
  </conditionalFormatting>
  <conditionalFormatting sqref="C46:E46">
    <cfRule type="cellIs" dxfId="1209" priority="29" stopIfTrue="1" operator="greaterThan">
      <formula>0.03</formula>
    </cfRule>
    <cfRule type="cellIs" dxfId="1208" priority="30" stopIfTrue="1" operator="lessThan">
      <formula>-0.03</formula>
    </cfRule>
  </conditionalFormatting>
  <conditionalFormatting sqref="C41:E41 C43:E44">
    <cfRule type="cellIs" dxfId="1207" priority="27" stopIfTrue="1" operator="greaterThan">
      <formula>0.03</formula>
    </cfRule>
    <cfRule type="cellIs" dxfId="1206" priority="28" stopIfTrue="1" operator="lessThan">
      <formula>-0.03</formula>
    </cfRule>
  </conditionalFormatting>
  <conditionalFormatting sqref="C42:E42">
    <cfRule type="cellIs" dxfId="1205" priority="19" stopIfTrue="1" operator="greaterThan">
      <formula>0.03</formula>
    </cfRule>
    <cfRule type="cellIs" dxfId="1204" priority="20" stopIfTrue="1" operator="lessThan">
      <formula>-0.03</formula>
    </cfRule>
  </conditionalFormatting>
  <conditionalFormatting sqref="C11:E11">
    <cfRule type="cellIs" dxfId="1203" priority="15" stopIfTrue="1" operator="greaterThan">
      <formula>0.03</formula>
    </cfRule>
    <cfRule type="cellIs" dxfId="1202" priority="16" stopIfTrue="1" operator="lessThan">
      <formula>-0.03</formula>
    </cfRule>
  </conditionalFormatting>
  <conditionalFormatting sqref="C23:E23">
    <cfRule type="cellIs" dxfId="1201" priority="11" stopIfTrue="1" operator="greaterThan">
      <formula>0.03</formula>
    </cfRule>
    <cfRule type="cellIs" dxfId="1200" priority="12" stopIfTrue="1" operator="lessThan">
      <formula>-0.03</formula>
    </cfRule>
  </conditionalFormatting>
  <conditionalFormatting sqref="C35:E35">
    <cfRule type="cellIs" dxfId="1199" priority="7" stopIfTrue="1" operator="greaterThan">
      <formula>0.03</formula>
    </cfRule>
    <cfRule type="cellIs" dxfId="1198" priority="8" stopIfTrue="1" operator="lessThan">
      <formula>-0.03</formula>
    </cfRule>
  </conditionalFormatting>
  <conditionalFormatting sqref="C47:E47">
    <cfRule type="cellIs" dxfId="1197" priority="3" stopIfTrue="1" operator="greaterThan">
      <formula>0.03</formula>
    </cfRule>
    <cfRule type="cellIs" dxfId="1196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86"/>
  <sheetViews>
    <sheetView workbookViewId="0">
      <selection activeCell="AA28" sqref="AA28"/>
    </sheetView>
  </sheetViews>
  <sheetFormatPr defaultColWidth="8.875" defaultRowHeight="15.7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6.5" thickBot="1">
      <c r="A1" t="s">
        <v>31</v>
      </c>
      <c r="AD1" t="s">
        <v>29</v>
      </c>
      <c r="AI1" t="s">
        <v>30</v>
      </c>
      <c r="AN1" t="s">
        <v>36</v>
      </c>
    </row>
    <row r="2" spans="1:43" ht="16.5" thickBot="1">
      <c r="A2" s="29" t="s">
        <v>75</v>
      </c>
      <c r="B2" s="29" t="s">
        <v>416</v>
      </c>
      <c r="AD2" s="5" t="s">
        <v>14</v>
      </c>
      <c r="AE2" s="6" t="s">
        <v>15</v>
      </c>
      <c r="AF2" s="6" t="s">
        <v>16</v>
      </c>
      <c r="AG2" s="6" t="s">
        <v>17</v>
      </c>
      <c r="AI2" s="5" t="s">
        <v>14</v>
      </c>
      <c r="AJ2" s="6" t="s">
        <v>15</v>
      </c>
      <c r="AK2" s="6" t="s">
        <v>16</v>
      </c>
      <c r="AL2" s="6" t="s">
        <v>17</v>
      </c>
      <c r="AN2" s="5" t="s">
        <v>14</v>
      </c>
      <c r="AO2" s="6" t="s">
        <v>15</v>
      </c>
      <c r="AP2" s="6" t="s">
        <v>16</v>
      </c>
      <c r="AQ2" s="6" t="s">
        <v>17</v>
      </c>
    </row>
    <row r="3" spans="1:43">
      <c r="Z3" t="s">
        <v>74</v>
      </c>
      <c r="AA3" t="s">
        <v>416</v>
      </c>
      <c r="AB3">
        <v>3</v>
      </c>
      <c r="AC3">
        <f>VLOOKUP(B2,AA3:AB43,2,FALSE)</f>
        <v>3</v>
      </c>
      <c r="AD3">
        <f ca="1">INDIRECT("'"&amp;$A$2&amp;"'!"&amp;ADDRESS($AC3,4))</f>
        <v>33931.735500000003</v>
      </c>
      <c r="AE3">
        <f ca="1">INDIRECT("'"&amp;$A$2&amp;"'!"&amp;ADDRESS($AC3,5))</f>
        <v>40.271000000000001</v>
      </c>
      <c r="AF3">
        <f ca="1">INDIRECT("'"&amp;$A$2&amp;"'!"&amp;ADDRESS($AC3,6))</f>
        <v>48.946199999999997</v>
      </c>
      <c r="AG3">
        <f ca="1">INDIRECT("'"&amp;$A$2&amp;"'!"&amp;ADDRESS($AC3,7))</f>
        <v>47.110300000000002</v>
      </c>
      <c r="AI3">
        <f ca="1">INDIRECT("'"&amp;$A$2&amp;"'!"&amp;ADDRESS($AC3,12))</f>
        <v>34511.373099999997</v>
      </c>
      <c r="AJ3">
        <f ca="1">INDIRECT("'"&amp;$A$2&amp;"'!"&amp;ADDRESS($AC3,13))</f>
        <v>40.289900000000003</v>
      </c>
      <c r="AK3">
        <f ca="1">INDIRECT("'"&amp;$A$2&amp;"'!"&amp;ADDRESS($AC3,14))</f>
        <v>48.949399999999997</v>
      </c>
      <c r="AL3">
        <f ca="1">INDIRECT("'"&amp;$A$2&amp;"'!"&amp;ADDRESS($AC3,15))</f>
        <v>47.113100000000003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>
      <c r="Z4" t="s">
        <v>75</v>
      </c>
      <c r="AA4" t="s">
        <v>417</v>
      </c>
      <c r="AB4">
        <f>AB3+4</f>
        <v>7</v>
      </c>
      <c r="AC4">
        <f>AC3+1</f>
        <v>4</v>
      </c>
      <c r="AD4">
        <f ca="1">INDIRECT("'"&amp;$A$2&amp;"'!"&amp;ADDRESS($AC4,4))</f>
        <v>9212.3101999999999</v>
      </c>
      <c r="AE4">
        <f ca="1">INDIRECT("'"&amp;$A$2&amp;"'!"&amp;ADDRESS($AC4,5))</f>
        <v>39.5336</v>
      </c>
      <c r="AF4">
        <f ca="1">INDIRECT("'"&amp;$A$2&amp;"'!"&amp;ADDRESS($AC4,6))</f>
        <v>48.122999999999998</v>
      </c>
      <c r="AG4">
        <f ca="1">INDIRECT("'"&amp;$A$2&amp;"'!"&amp;ADDRESS($AC4,7))</f>
        <v>45.898200000000003</v>
      </c>
      <c r="AI4">
        <f ca="1">INDIRECT("'"&amp;$A$2&amp;"'!"&amp;ADDRESS($AC4,12))</f>
        <v>9292.1257000000005</v>
      </c>
      <c r="AJ4">
        <f ca="1">INDIRECT("'"&amp;$A$2&amp;"'!"&amp;ADDRESS($AC4,13))</f>
        <v>39.543399999999998</v>
      </c>
      <c r="AK4">
        <f ca="1">INDIRECT("'"&amp;$A$2&amp;"'!"&amp;ADDRESS($AC4,14))</f>
        <v>48.129199999999997</v>
      </c>
      <c r="AL4">
        <f ca="1">INDIRECT("'"&amp;$A$2&amp;"'!"&amp;ADDRESS($AC4,15))</f>
        <v>45.893500000000003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>
      <c r="Z5" t="s">
        <v>76</v>
      </c>
      <c r="AA5" t="s">
        <v>503</v>
      </c>
      <c r="AB5">
        <f t="shared" ref="AB5:AB28" si="0">AB4+4</f>
        <v>11</v>
      </c>
      <c r="AC5">
        <f>AC4+1</f>
        <v>5</v>
      </c>
      <c r="AD5">
        <f ca="1">INDIRECT("'"&amp;$A$2&amp;"'!"&amp;ADDRESS($AC5,4))</f>
        <v>4539.1868999999997</v>
      </c>
      <c r="AE5">
        <f ca="1">INDIRECT("'"&amp;$A$2&amp;"'!"&amp;ADDRESS($AC5,5))</f>
        <v>38.622</v>
      </c>
      <c r="AF5">
        <f ca="1">INDIRECT("'"&amp;$A$2&amp;"'!"&amp;ADDRESS($AC5,6))</f>
        <v>47.089199999999998</v>
      </c>
      <c r="AG5">
        <f ca="1">INDIRECT("'"&amp;$A$2&amp;"'!"&amp;ADDRESS($AC5,7))</f>
        <v>44.553600000000003</v>
      </c>
      <c r="AI5">
        <f ca="1">INDIRECT("'"&amp;$A$2&amp;"'!"&amp;ADDRESS($AC5,12))</f>
        <v>4538.6400000000003</v>
      </c>
      <c r="AJ5">
        <f ca="1">INDIRECT("'"&amp;$A$2&amp;"'!"&amp;ADDRESS($AC5,13))</f>
        <v>38.636499999999998</v>
      </c>
      <c r="AK5">
        <f ca="1">INDIRECT("'"&amp;$A$2&amp;"'!"&amp;ADDRESS($AC5,14))</f>
        <v>47.091700000000003</v>
      </c>
      <c r="AL5">
        <f ca="1">INDIRECT("'"&amp;$A$2&amp;"'!"&amp;ADDRESS($AC5,15))</f>
        <v>44.552199999999999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>
      <c r="Z6" t="s">
        <v>77</v>
      </c>
      <c r="AA6" t="s">
        <v>418</v>
      </c>
      <c r="AB6">
        <f t="shared" si="0"/>
        <v>15</v>
      </c>
      <c r="AC6">
        <f>AC5+1</f>
        <v>6</v>
      </c>
      <c r="AD6">
        <f ca="1">INDIRECT("'"&amp;$A$2&amp;"'!"&amp;ADDRESS($AC6,4))</f>
        <v>2510.9061000000002</v>
      </c>
      <c r="AE6">
        <f ca="1">INDIRECT("'"&amp;$A$2&amp;"'!"&amp;ADDRESS($AC6,5))</f>
        <v>37.225099999999998</v>
      </c>
      <c r="AF6">
        <f ca="1">INDIRECT("'"&amp;$A$2&amp;"'!"&amp;ADDRESS($AC6,6))</f>
        <v>46.015999999999998</v>
      </c>
      <c r="AG6">
        <f ca="1">INDIRECT("'"&amp;$A$2&amp;"'!"&amp;ADDRESS($AC6,7))</f>
        <v>43.2211</v>
      </c>
      <c r="AI6">
        <f ca="1">INDIRECT("'"&amp;$A$2&amp;"'!"&amp;ADDRESS($AC6,12))</f>
        <v>2506.2465000000002</v>
      </c>
      <c r="AJ6">
        <f ca="1">INDIRECT("'"&amp;$A$2&amp;"'!"&amp;ADDRESS($AC6,13))</f>
        <v>37.240400000000001</v>
      </c>
      <c r="AK6">
        <f ca="1">INDIRECT("'"&amp;$A$2&amp;"'!"&amp;ADDRESS($AC6,14))</f>
        <v>46.0274</v>
      </c>
      <c r="AL6">
        <f ca="1">INDIRECT("'"&amp;$A$2&amp;"'!"&amp;ADDRESS($AC6,15))</f>
        <v>43.2196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>
      <c r="AA7" t="s">
        <v>419</v>
      </c>
      <c r="AB7">
        <f t="shared" si="0"/>
        <v>19</v>
      </c>
    </row>
    <row r="8" spans="1:43">
      <c r="AA8" t="s">
        <v>420</v>
      </c>
      <c r="AB8">
        <f t="shared" si="0"/>
        <v>23</v>
      </c>
      <c r="AD8" t="str">
        <f>"Sequence: "&amp;B2 &amp; "     Coding Conditions: " &amp; A2</f>
        <v>Sequence: Tango2     Coding Conditions: RA-10</v>
      </c>
    </row>
    <row r="9" spans="1:43">
      <c r="AA9" t="s">
        <v>422</v>
      </c>
      <c r="AB9">
        <f t="shared" si="0"/>
        <v>27</v>
      </c>
    </row>
    <row r="10" spans="1:43">
      <c r="AA10" t="s">
        <v>421</v>
      </c>
      <c r="AB10">
        <f t="shared" si="0"/>
        <v>31</v>
      </c>
    </row>
    <row r="11" spans="1:43">
      <c r="AA11" t="s">
        <v>2</v>
      </c>
      <c r="AB11">
        <f t="shared" si="0"/>
        <v>35</v>
      </c>
      <c r="AD11" t="s">
        <v>32</v>
      </c>
      <c r="AE11" t="s">
        <v>33</v>
      </c>
      <c r="AF11" t="s">
        <v>34</v>
      </c>
      <c r="AG11" t="s">
        <v>35</v>
      </c>
    </row>
    <row r="12" spans="1:43">
      <c r="AA12" t="s">
        <v>3</v>
      </c>
      <c r="AB12">
        <f t="shared" si="0"/>
        <v>39</v>
      </c>
      <c r="AD12" s="31">
        <f ca="1">MAX(AD3:AD6,AI3:AI6, AN3:AN6)</f>
        <v>34511.373099999997</v>
      </c>
      <c r="AE12" s="31">
        <f ca="1">MAX(AE3:AE6,AJ3:AJ6, AO3:AO6)</f>
        <v>40.289900000000003</v>
      </c>
      <c r="AF12" s="31">
        <f ca="1">MAX(AF3:AF6,AK3:AK6, AP3:AP6)</f>
        <v>48.949399999999997</v>
      </c>
      <c r="AG12" s="31">
        <f ca="1">MAX(AG3:AG6,AL3:AL6, AQ3:AQ6)</f>
        <v>47.113100000000003</v>
      </c>
    </row>
    <row r="13" spans="1:43">
      <c r="AA13" t="s">
        <v>4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>
      <c r="AA14" t="s">
        <v>53</v>
      </c>
      <c r="AB14">
        <f t="shared" si="0"/>
        <v>47</v>
      </c>
      <c r="AD14" s="32"/>
      <c r="AE14" s="32"/>
      <c r="AF14" s="32"/>
      <c r="AG14" s="32"/>
    </row>
    <row r="15" spans="1:43">
      <c r="AA15" t="s">
        <v>37</v>
      </c>
      <c r="AB15">
        <f t="shared" si="0"/>
        <v>51</v>
      </c>
      <c r="AD15" s="32">
        <f ca="1">POWER(10,CEILING(LOG(AD12+1),1))</f>
        <v>100000</v>
      </c>
      <c r="AE15" s="33">
        <f ca="1">CEILING(AE12+0.25,0.5)</f>
        <v>41</v>
      </c>
      <c r="AF15" s="33">
        <f ca="1">CEILING(AF12+0.25,0.5)</f>
        <v>49.5</v>
      </c>
      <c r="AG15" s="33">
        <f ca="1">CEILING(AG12+0.25,0.5)</f>
        <v>47.5</v>
      </c>
    </row>
    <row r="16" spans="1:43">
      <c r="AA16" t="s">
        <v>42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>
      <c r="AA17" t="s">
        <v>43</v>
      </c>
      <c r="AB17">
        <f t="shared" si="0"/>
        <v>59</v>
      </c>
    </row>
    <row r="18" spans="27:28">
      <c r="AA18" t="s">
        <v>56</v>
      </c>
      <c r="AB18">
        <f t="shared" si="0"/>
        <v>63</v>
      </c>
    </row>
    <row r="19" spans="27:28">
      <c r="AA19" t="s">
        <v>57</v>
      </c>
      <c r="AB19">
        <f t="shared" si="0"/>
        <v>67</v>
      </c>
    </row>
    <row r="20" spans="27:28">
      <c r="AA20" t="s">
        <v>58</v>
      </c>
      <c r="AB20">
        <f t="shared" si="0"/>
        <v>71</v>
      </c>
    </row>
    <row r="21" spans="27:28">
      <c r="AA21" t="s">
        <v>55</v>
      </c>
      <c r="AB21">
        <f t="shared" si="0"/>
        <v>75</v>
      </c>
    </row>
    <row r="22" spans="27:28">
      <c r="AA22" t="s">
        <v>59</v>
      </c>
      <c r="AB22">
        <f t="shared" si="0"/>
        <v>79</v>
      </c>
    </row>
    <row r="23" spans="27:28">
      <c r="AA23" t="s">
        <v>60</v>
      </c>
      <c r="AB23">
        <f t="shared" si="0"/>
        <v>83</v>
      </c>
    </row>
    <row r="24" spans="27:28">
      <c r="AA24" t="s">
        <v>61</v>
      </c>
      <c r="AB24">
        <f t="shared" si="0"/>
        <v>87</v>
      </c>
    </row>
    <row r="25" spans="27:28">
      <c r="AA25" t="s">
        <v>62</v>
      </c>
      <c r="AB25">
        <f t="shared" si="0"/>
        <v>91</v>
      </c>
    </row>
    <row r="26" spans="27:28">
      <c r="AA26" t="s">
        <v>63</v>
      </c>
      <c r="AB26">
        <f t="shared" si="0"/>
        <v>95</v>
      </c>
    </row>
    <row r="27" spans="27:28">
      <c r="AA27" t="s">
        <v>64</v>
      </c>
      <c r="AB27">
        <f t="shared" si="0"/>
        <v>99</v>
      </c>
    </row>
    <row r="28" spans="27:28">
      <c r="AA28" t="s">
        <v>65</v>
      </c>
      <c r="AB28">
        <f t="shared" si="0"/>
        <v>103</v>
      </c>
    </row>
    <row r="29" spans="27:28">
      <c r="AA29"/>
    </row>
    <row r="30" spans="27:28">
      <c r="AA30"/>
    </row>
    <row r="31" spans="27:28">
      <c r="AA31"/>
    </row>
    <row r="32" spans="27:28">
      <c r="AA32"/>
    </row>
    <row r="33" spans="27:27">
      <c r="AA33" s="20"/>
    </row>
    <row r="34" spans="27:27">
      <c r="AA34" s="20"/>
    </row>
    <row r="35" spans="27:27">
      <c r="AA35" s="20"/>
    </row>
    <row r="36" spans="27:27">
      <c r="AA36" s="20"/>
    </row>
    <row r="37" spans="27:27">
      <c r="AA37" s="20"/>
    </row>
    <row r="38" spans="27:27">
      <c r="AA38" s="20"/>
    </row>
    <row r="39" spans="27:27">
      <c r="AA39" s="20"/>
    </row>
    <row r="40" spans="27:27">
      <c r="AA40" s="20"/>
    </row>
    <row r="41" spans="27:27">
      <c r="AA41" s="20"/>
    </row>
    <row r="42" spans="27:27">
      <c r="AA42" s="20"/>
    </row>
    <row r="43" spans="27:27">
      <c r="AA43" s="20"/>
    </row>
    <row r="44" spans="27:27">
      <c r="AA44" s="20"/>
    </row>
    <row r="45" spans="27:27">
      <c r="AA45" s="20"/>
    </row>
    <row r="46" spans="27:27">
      <c r="AA46" s="20"/>
    </row>
    <row r="47" spans="27:27">
      <c r="AA47" s="20"/>
    </row>
    <row r="48" spans="27:27">
      <c r="AA48" s="20"/>
    </row>
    <row r="49" spans="27:27">
      <c r="AA49" s="20"/>
    </row>
    <row r="50" spans="27:27">
      <c r="AA50" s="20"/>
    </row>
    <row r="51" spans="27:27">
      <c r="AA51" s="20"/>
    </row>
    <row r="52" spans="27:27">
      <c r="AA52" s="20"/>
    </row>
    <row r="53" spans="27:27">
      <c r="AA53" s="20"/>
    </row>
    <row r="54" spans="27:27">
      <c r="AA54" s="20"/>
    </row>
    <row r="55" spans="27:27">
      <c r="AA55" s="20"/>
    </row>
    <row r="56" spans="27:27">
      <c r="AA56" s="20"/>
    </row>
    <row r="57" spans="27:27">
      <c r="AA57" s="20"/>
    </row>
    <row r="58" spans="27:27">
      <c r="AA58" s="20"/>
    </row>
    <row r="59" spans="27:27">
      <c r="AA59" s="20"/>
    </row>
    <row r="60" spans="27:27">
      <c r="AA60" s="20"/>
    </row>
    <row r="61" spans="27:27">
      <c r="AA61" s="20"/>
    </row>
    <row r="62" spans="27:27">
      <c r="AA62" s="20"/>
    </row>
    <row r="63" spans="27:27">
      <c r="AA63" s="20"/>
    </row>
    <row r="64" spans="27:27">
      <c r="AA64" s="20"/>
    </row>
    <row r="65" spans="27:27">
      <c r="AA65" s="20"/>
    </row>
    <row r="66" spans="27:27">
      <c r="AA66" s="20"/>
    </row>
    <row r="67" spans="27:27">
      <c r="AA67" s="20"/>
    </row>
    <row r="68" spans="27:27">
      <c r="AA68" s="20"/>
    </row>
    <row r="69" spans="27:27">
      <c r="AA69" s="20"/>
    </row>
    <row r="70" spans="27:27">
      <c r="AA70" s="20"/>
    </row>
    <row r="71" spans="27:27">
      <c r="AA71" s="20"/>
    </row>
    <row r="72" spans="27:27">
      <c r="AA72" s="20"/>
    </row>
    <row r="73" spans="27:27">
      <c r="AA73" s="20"/>
    </row>
    <row r="74" spans="27:27">
      <c r="AA74" s="20"/>
    </row>
    <row r="75" spans="27:27">
      <c r="AA75" s="20"/>
    </row>
    <row r="76" spans="27:27">
      <c r="AA76" s="20"/>
    </row>
    <row r="77" spans="27:27">
      <c r="AA77" s="20"/>
    </row>
    <row r="78" spans="27:27">
      <c r="AA78" s="20"/>
    </row>
    <row r="79" spans="27:27">
      <c r="AA79" s="20"/>
    </row>
    <row r="80" spans="27:27">
      <c r="AA80" s="20"/>
    </row>
    <row r="81" spans="27:27">
      <c r="AA81" s="20"/>
    </row>
    <row r="82" spans="27:27">
      <c r="AA82" s="20"/>
    </row>
    <row r="83" spans="27:27">
      <c r="AA83" s="20"/>
    </row>
    <row r="84" spans="27:27">
      <c r="AA84" s="20"/>
    </row>
    <row r="85" spans="27:27">
      <c r="AA85" s="20"/>
    </row>
    <row r="86" spans="27:27">
      <c r="AA86" s="20"/>
    </row>
  </sheetData>
  <dataConsolidate/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$AA$3:$AA$43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20"/>
  <sheetViews>
    <sheetView topLeftCell="A94" zoomScaleNormal="100" workbookViewId="0">
      <selection activeCell="V118" sqref="V118:X120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>
      <c r="D1" s="124" t="s">
        <v>12</v>
      </c>
      <c r="E1" s="125"/>
      <c r="F1" s="125"/>
      <c r="G1" s="125"/>
      <c r="H1" s="125"/>
      <c r="I1" s="125"/>
      <c r="J1" s="126"/>
      <c r="L1" s="124" t="s">
        <v>13</v>
      </c>
      <c r="M1" s="125"/>
      <c r="N1" s="125"/>
      <c r="O1" s="125"/>
      <c r="P1" s="125"/>
      <c r="Q1" s="125"/>
      <c r="R1" s="126"/>
      <c r="S1" s="37"/>
      <c r="T1" s="37"/>
      <c r="U1" s="2"/>
      <c r="V1" s="124" t="s">
        <v>24</v>
      </c>
      <c r="W1" s="125"/>
      <c r="X1" s="126"/>
      <c r="Y1" s="124" t="s">
        <v>25</v>
      </c>
      <c r="Z1" s="125"/>
      <c r="AA1" s="126"/>
    </row>
    <row r="2" spans="1:27" ht="12.75" thickBot="1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66</v>
      </c>
      <c r="T2" s="7" t="s">
        <v>67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>
      <c r="A3" s="11" t="s">
        <v>72</v>
      </c>
      <c r="B3" s="11" t="s">
        <v>416</v>
      </c>
      <c r="C3" s="11">
        <v>22</v>
      </c>
      <c r="D3" s="12">
        <v>19089.6924</v>
      </c>
      <c r="E3" s="13">
        <v>41.542999999999999</v>
      </c>
      <c r="F3" s="13">
        <v>49.436199999999999</v>
      </c>
      <c r="G3" s="13">
        <v>47.987900000000003</v>
      </c>
      <c r="H3" s="13">
        <v>38933.305</v>
      </c>
      <c r="I3" s="13">
        <v>28.28</v>
      </c>
      <c r="J3" s="14">
        <f>H3/3600</f>
        <v>10.814806944444445</v>
      </c>
      <c r="L3" s="12">
        <v>19406.0157</v>
      </c>
      <c r="M3" s="13">
        <v>41.616500000000002</v>
      </c>
      <c r="N3" s="13">
        <v>49.460700000000003</v>
      </c>
      <c r="O3" s="13">
        <v>48.001899999999999</v>
      </c>
      <c r="P3" s="13">
        <v>75822.058999999994</v>
      </c>
      <c r="Q3" s="13">
        <v>36.966999999999999</v>
      </c>
      <c r="R3" s="14">
        <f>P3/3600</f>
        <v>21.061683055555555</v>
      </c>
      <c r="S3" s="13">
        <f>P3/H3</f>
        <v>1.947485809386077</v>
      </c>
      <c r="T3" s="13">
        <f>Q3/I3</f>
        <v>1.3071782178217821</v>
      </c>
      <c r="U3" s="58"/>
      <c r="V3" s="41">
        <f>bdrate($D3:$D6,E3:E6,$L3:$L6,M3:M6)</f>
        <v>-3.223599884950501E-2</v>
      </c>
      <c r="W3" s="46">
        <f>bdrate($D3:$D6,F3:F6,$L3:$L6,N3:N6)</f>
        <v>-2.2276479861334297E-2</v>
      </c>
      <c r="X3" s="47">
        <f>bdrate($D3:$D6,G3:G6,$L3:$L6,O3:O6)</f>
        <v>-1.5442511895226718E-2</v>
      </c>
      <c r="Y3" s="41">
        <f>bdrateOld($D3:$D6,E3:E6,$L3:$L6,M3:M6)</f>
        <v>-3.1635230549520554E-2</v>
      </c>
      <c r="Z3" s="46">
        <f>bdrateOld($D3:$D6,F3:F6,$L3:$L6,N3:N6)</f>
        <v>-2.2259960650979793E-2</v>
      </c>
      <c r="AA3" s="47">
        <f>bdrateOld($D3:$D6,G3:G6,$L3:$L6,O3:O6)</f>
        <v>-1.5634368436227564E-2</v>
      </c>
    </row>
    <row r="4" spans="1:27">
      <c r="A4" s="16" t="s">
        <v>46</v>
      </c>
      <c r="B4" s="16"/>
      <c r="C4" s="16">
        <v>27</v>
      </c>
      <c r="D4" s="17">
        <v>6469.2016000000003</v>
      </c>
      <c r="E4" s="18">
        <v>40.187800000000003</v>
      </c>
      <c r="F4" s="18">
        <v>48.159799999999997</v>
      </c>
      <c r="G4" s="18">
        <v>46.245699999999999</v>
      </c>
      <c r="H4" s="18">
        <v>27726.519</v>
      </c>
      <c r="I4" s="18">
        <v>28.204000000000001</v>
      </c>
      <c r="J4" s="19">
        <f t="shared" ref="J4:J14" si="0">H4/3600</f>
        <v>7.7018108333333331</v>
      </c>
      <c r="L4" s="17">
        <v>6396.8935000000001</v>
      </c>
      <c r="M4" s="18">
        <v>40.213900000000002</v>
      </c>
      <c r="N4" s="18">
        <v>48.176299999999998</v>
      </c>
      <c r="O4" s="18">
        <v>46.254899999999999</v>
      </c>
      <c r="P4" s="18">
        <v>59026.883999999998</v>
      </c>
      <c r="Q4" s="18">
        <v>38.380000000000003</v>
      </c>
      <c r="R4" s="19">
        <f t="shared" ref="R4:R14" si="1">P4/3600</f>
        <v>16.396356666666666</v>
      </c>
      <c r="S4" s="18">
        <f t="shared" ref="S4:T14" si="2">P4/H4</f>
        <v>2.1288963104239662</v>
      </c>
      <c r="T4" s="18">
        <f t="shared" si="2"/>
        <v>1.3607998865409163</v>
      </c>
      <c r="U4" s="59"/>
      <c r="V4" s="42"/>
      <c r="W4" s="25"/>
      <c r="X4" s="54"/>
      <c r="Y4" s="42"/>
      <c r="Z4" s="25"/>
      <c r="AA4" s="54"/>
    </row>
    <row r="5" spans="1:27">
      <c r="A5" s="16"/>
      <c r="B5" s="16"/>
      <c r="C5" s="16">
        <v>32</v>
      </c>
      <c r="D5" s="17">
        <v>3627.6129999999998</v>
      </c>
      <c r="E5" s="18">
        <v>39.359000000000002</v>
      </c>
      <c r="F5" s="18">
        <v>46.878</v>
      </c>
      <c r="G5" s="18">
        <v>44.669800000000002</v>
      </c>
      <c r="H5" s="18">
        <v>24087.928</v>
      </c>
      <c r="I5" s="18">
        <v>23.715</v>
      </c>
      <c r="J5" s="19">
        <f t="shared" si="0"/>
        <v>6.6910911111111107</v>
      </c>
      <c r="L5" s="17">
        <v>3557.3254000000002</v>
      </c>
      <c r="M5" s="18">
        <v>39.380299999999998</v>
      </c>
      <c r="N5" s="18">
        <v>46.895400000000002</v>
      </c>
      <c r="O5" s="18">
        <v>44.675699999999999</v>
      </c>
      <c r="P5" s="18">
        <v>59226.048999999999</v>
      </c>
      <c r="Q5" s="18">
        <v>33.174999999999997</v>
      </c>
      <c r="R5" s="19">
        <f t="shared" si="1"/>
        <v>16.451680277777779</v>
      </c>
      <c r="S5" s="18">
        <f t="shared" si="2"/>
        <v>2.4587440231471964</v>
      </c>
      <c r="T5" s="18">
        <f t="shared" si="2"/>
        <v>1.3989036474804974</v>
      </c>
      <c r="U5" s="59"/>
      <c r="V5" s="42"/>
      <c r="W5" s="25"/>
      <c r="X5" s="54"/>
      <c r="Y5" s="42"/>
      <c r="Z5" s="25"/>
      <c r="AA5" s="54"/>
    </row>
    <row r="6" spans="1:27" ht="12.75" thickBot="1">
      <c r="A6" s="16"/>
      <c r="B6" s="21"/>
      <c r="C6" s="21">
        <v>37</v>
      </c>
      <c r="D6" s="22">
        <v>2156.8719000000001</v>
      </c>
      <c r="E6" s="23">
        <v>38.185299999999998</v>
      </c>
      <c r="F6" s="23">
        <v>45.818800000000003</v>
      </c>
      <c r="G6" s="23">
        <v>43.402200000000001</v>
      </c>
      <c r="H6" s="23">
        <v>21699.312999999998</v>
      </c>
      <c r="I6" s="23">
        <v>18.129000000000001</v>
      </c>
      <c r="J6" s="24">
        <f t="shared" si="0"/>
        <v>6.0275869444444439</v>
      </c>
      <c r="L6" s="22">
        <v>2110.5648999999999</v>
      </c>
      <c r="M6" s="23">
        <v>38.201599999999999</v>
      </c>
      <c r="N6" s="23">
        <v>45.826999999999998</v>
      </c>
      <c r="O6" s="23">
        <v>43.410600000000002</v>
      </c>
      <c r="P6" s="23">
        <v>45363.46</v>
      </c>
      <c r="Q6" s="23">
        <v>33.774999999999999</v>
      </c>
      <c r="R6" s="24">
        <f t="shared" si="1"/>
        <v>12.600961111111111</v>
      </c>
      <c r="S6" s="18">
        <f t="shared" si="2"/>
        <v>2.0905482122867207</v>
      </c>
      <c r="T6" s="18">
        <f t="shared" si="2"/>
        <v>1.8630371228418554</v>
      </c>
      <c r="U6" s="59"/>
      <c r="V6" s="43"/>
      <c r="W6" s="55"/>
      <c r="X6" s="56"/>
      <c r="Y6" s="43"/>
      <c r="Z6" s="55"/>
      <c r="AA6" s="56"/>
    </row>
    <row r="7" spans="1:27">
      <c r="A7" s="16"/>
      <c r="B7" s="11" t="s">
        <v>417</v>
      </c>
      <c r="C7" s="11">
        <v>22</v>
      </c>
      <c r="D7" s="12">
        <v>17253.84</v>
      </c>
      <c r="E7" s="13">
        <v>45.027200000000001</v>
      </c>
      <c r="F7" s="13">
        <v>49.636899999999997</v>
      </c>
      <c r="G7" s="13">
        <v>50.145499999999998</v>
      </c>
      <c r="H7" s="13">
        <v>30990.447</v>
      </c>
      <c r="I7" s="13">
        <v>25.327999999999999</v>
      </c>
      <c r="J7" s="14">
        <f t="shared" si="0"/>
        <v>8.6084575000000001</v>
      </c>
      <c r="L7" s="12">
        <v>17085.727900000002</v>
      </c>
      <c r="M7" s="13">
        <v>45.106000000000002</v>
      </c>
      <c r="N7" s="13">
        <v>49.637900000000002</v>
      </c>
      <c r="O7" s="13">
        <v>50.154600000000002</v>
      </c>
      <c r="P7" s="13">
        <v>69200.266000000003</v>
      </c>
      <c r="Q7" s="13">
        <v>36.262</v>
      </c>
      <c r="R7" s="14">
        <f t="shared" si="1"/>
        <v>19.222296111111113</v>
      </c>
      <c r="S7" s="18">
        <f t="shared" si="2"/>
        <v>2.2329547553799403</v>
      </c>
      <c r="T7" s="18">
        <f t="shared" si="2"/>
        <v>1.43169614655717</v>
      </c>
      <c r="U7" s="59"/>
      <c r="V7" s="41">
        <f>bdrate($D7:$D10,E7:E10,$L7:$L10,M7:M10)</f>
        <v>-3.8792463348945039E-2</v>
      </c>
      <c r="W7" s="46">
        <f>bdrate($D7:$D10,F7:F10,$L7:$L10,N7:N10)</f>
        <v>-2.1292897118620591E-2</v>
      </c>
      <c r="X7" s="46">
        <f>bdrate($D7:$D10,G7:G10,$L7:$L10,O7:O10)</f>
        <v>-2.2411818833152353E-2</v>
      </c>
      <c r="Y7" s="44">
        <f>bdrateOld($D7:$D10,E7:E10,$L7:$L10,M7:M10)</f>
        <v>-3.8857983542831986E-2</v>
      </c>
      <c r="Z7" s="48">
        <f>bdrateOld($D7:$D10,F7:F10,$L7:$L10,N7:N10)</f>
        <v>-2.1429273506987534E-2</v>
      </c>
      <c r="AA7" s="49">
        <f>bdrateOld($D7:$D10,G7:G10,$L7:$L10,O7:O10)</f>
        <v>-2.2406024710659556E-2</v>
      </c>
    </row>
    <row r="8" spans="1:27">
      <c r="A8" s="16"/>
      <c r="B8" s="16"/>
      <c r="C8" s="16">
        <v>27</v>
      </c>
      <c r="D8" s="17">
        <v>9982.1574000000001</v>
      </c>
      <c r="E8" s="18">
        <v>43.551000000000002</v>
      </c>
      <c r="F8" s="18">
        <v>47.365000000000002</v>
      </c>
      <c r="G8" s="18">
        <v>47.764200000000002</v>
      </c>
      <c r="H8" s="18">
        <v>28114.190999999999</v>
      </c>
      <c r="I8" s="18">
        <v>22.8</v>
      </c>
      <c r="J8" s="19">
        <f t="shared" si="0"/>
        <v>7.8094975</v>
      </c>
      <c r="L8" s="17">
        <v>9774.75</v>
      </c>
      <c r="M8" s="18">
        <v>43.609699999999997</v>
      </c>
      <c r="N8" s="18">
        <v>47.369500000000002</v>
      </c>
      <c r="O8" s="18">
        <v>47.773899999999998</v>
      </c>
      <c r="P8" s="18">
        <v>61561.122000000003</v>
      </c>
      <c r="Q8" s="18">
        <v>36.222000000000001</v>
      </c>
      <c r="R8" s="19">
        <f t="shared" si="1"/>
        <v>17.100311666666666</v>
      </c>
      <c r="S8" s="18">
        <f t="shared" si="2"/>
        <v>2.1896814317011648</v>
      </c>
      <c r="T8" s="18">
        <f t="shared" si="2"/>
        <v>1.5886842105263157</v>
      </c>
      <c r="U8" s="59"/>
      <c r="V8" s="42"/>
      <c r="W8" s="25"/>
      <c r="X8" s="25"/>
      <c r="Y8" s="42"/>
      <c r="Z8" s="25"/>
      <c r="AA8" s="54"/>
    </row>
    <row r="9" spans="1:27">
      <c r="A9" s="16"/>
      <c r="B9" s="16"/>
      <c r="C9" s="16">
        <v>32</v>
      </c>
      <c r="D9" s="17">
        <v>5953.9263000000001</v>
      </c>
      <c r="E9" s="18">
        <v>41.759399999999999</v>
      </c>
      <c r="F9" s="18">
        <v>45.502499999999998</v>
      </c>
      <c r="G9" s="18">
        <v>45.815800000000003</v>
      </c>
      <c r="H9" s="18">
        <v>28300.169000000002</v>
      </c>
      <c r="I9" s="18">
        <v>19.966000000000001</v>
      </c>
      <c r="J9" s="19">
        <f t="shared" si="0"/>
        <v>7.8611580555555562</v>
      </c>
      <c r="L9" s="17">
        <v>5820.2210999999998</v>
      </c>
      <c r="M9" s="18">
        <v>41.824399999999997</v>
      </c>
      <c r="N9" s="18">
        <v>45.5092</v>
      </c>
      <c r="O9" s="18">
        <v>45.828499999999998</v>
      </c>
      <c r="P9" s="18">
        <v>59090.902999999998</v>
      </c>
      <c r="Q9" s="18">
        <v>35.613</v>
      </c>
      <c r="R9" s="19">
        <f t="shared" si="1"/>
        <v>16.41413972222222</v>
      </c>
      <c r="S9" s="18">
        <f t="shared" si="2"/>
        <v>2.0880053048446459</v>
      </c>
      <c r="T9" s="18">
        <f t="shared" si="2"/>
        <v>1.7836822598417308</v>
      </c>
      <c r="U9" s="59"/>
      <c r="V9" s="42"/>
      <c r="W9" s="25"/>
      <c r="X9" s="25"/>
      <c r="Y9" s="42"/>
      <c r="Z9" s="25"/>
      <c r="AA9" s="54"/>
    </row>
    <row r="10" spans="1:27" ht="12.75" thickBot="1">
      <c r="A10" s="16"/>
      <c r="B10" s="21"/>
      <c r="C10" s="21">
        <v>37</v>
      </c>
      <c r="D10" s="22">
        <v>3527.7078999999999</v>
      </c>
      <c r="E10" s="23">
        <v>39.566600000000001</v>
      </c>
      <c r="F10" s="23">
        <v>44.100499999999997</v>
      </c>
      <c r="G10" s="23">
        <v>44.338999999999999</v>
      </c>
      <c r="H10" s="23">
        <v>24690.202000000001</v>
      </c>
      <c r="I10" s="23">
        <v>17.786000000000001</v>
      </c>
      <c r="J10" s="24">
        <f t="shared" si="0"/>
        <v>6.8583894444444446</v>
      </c>
      <c r="L10" s="22">
        <v>3448.7431999999999</v>
      </c>
      <c r="M10" s="23">
        <v>39.625999999999998</v>
      </c>
      <c r="N10" s="23">
        <v>44.111699999999999</v>
      </c>
      <c r="O10" s="23">
        <v>44.344499999999996</v>
      </c>
      <c r="P10" s="23">
        <v>55337.38</v>
      </c>
      <c r="Q10" s="23">
        <v>35.674999999999997</v>
      </c>
      <c r="R10" s="24">
        <f t="shared" si="1"/>
        <v>15.371494444444444</v>
      </c>
      <c r="S10" s="18">
        <f t="shared" si="2"/>
        <v>2.2412688239650689</v>
      </c>
      <c r="T10" s="18">
        <f t="shared" si="2"/>
        <v>2.0057910716293712</v>
      </c>
      <c r="U10" s="59"/>
      <c r="V10" s="43"/>
      <c r="W10" s="55"/>
      <c r="X10" s="55"/>
      <c r="Y10" s="43"/>
      <c r="Z10" s="55"/>
      <c r="AA10" s="56"/>
    </row>
    <row r="11" spans="1:27">
      <c r="A11" s="35"/>
      <c r="B11" s="34" t="s">
        <v>503</v>
      </c>
      <c r="C11" s="34">
        <v>22</v>
      </c>
      <c r="D11" s="12">
        <v>25077.9797</v>
      </c>
      <c r="E11" s="13">
        <v>43.110599999999998</v>
      </c>
      <c r="F11" s="13">
        <v>44.648400000000002</v>
      </c>
      <c r="G11" s="13">
        <v>43.945900000000002</v>
      </c>
      <c r="H11" s="13">
        <v>35482.533000000003</v>
      </c>
      <c r="I11" s="13">
        <v>44.366999999999997</v>
      </c>
      <c r="J11" s="14">
        <f t="shared" si="0"/>
        <v>9.8562591666666677</v>
      </c>
      <c r="L11" s="12">
        <v>25031.708699999999</v>
      </c>
      <c r="M11" s="13">
        <v>43.177</v>
      </c>
      <c r="N11" s="13">
        <v>44.662300000000002</v>
      </c>
      <c r="O11" s="13">
        <v>43.958799999999997</v>
      </c>
      <c r="P11" s="13">
        <v>75274.635999999999</v>
      </c>
      <c r="Q11" s="13">
        <v>45.02</v>
      </c>
      <c r="R11" s="14">
        <f t="shared" si="1"/>
        <v>20.909621111111111</v>
      </c>
      <c r="S11" s="18">
        <f t="shared" si="2"/>
        <v>2.1214560978496095</v>
      </c>
      <c r="T11" s="18">
        <f t="shared" si="2"/>
        <v>1.0147181463700499</v>
      </c>
      <c r="U11" s="59"/>
      <c r="V11" s="41">
        <f>bdrate($D11:$D14,E11:E14,$L11:$L14,M11:M14)</f>
        <v>-1.7996599316495887E-2</v>
      </c>
      <c r="W11" s="46">
        <f>bdrate($D11:$D14,F11:F14,$L11:$L14,N11:N14)</f>
        <v>-3.2289794436993757E-3</v>
      </c>
      <c r="X11" s="46">
        <f>bdrate($D11:$D14,G11:G14,$L11:$L14,O11:O14)</f>
        <v>-5.5421678002169905E-3</v>
      </c>
      <c r="Y11" s="44">
        <f>bdrateOld($D11:$D14,E11:E14,$L11:$L14,M11:M14)</f>
        <v>-1.8296144733836561E-2</v>
      </c>
      <c r="Z11" s="48">
        <f>bdrateOld($D11:$D14,F11:F14,$L11:$L14,N11:N14)</f>
        <v>-2.7000259843968921E-3</v>
      </c>
      <c r="AA11" s="49">
        <f>bdrateOld($D11:$D14,G11:G14,$L11:$L14,O11:O14)</f>
        <v>-5.7037706481206651E-3</v>
      </c>
    </row>
    <row r="12" spans="1:27">
      <c r="A12" s="35"/>
      <c r="B12" s="35"/>
      <c r="C12" s="35">
        <v>27</v>
      </c>
      <c r="D12" s="17">
        <v>10275.062400000001</v>
      </c>
      <c r="E12" s="18">
        <v>39.3703</v>
      </c>
      <c r="F12" s="18">
        <v>41.0702</v>
      </c>
      <c r="G12" s="18">
        <v>41.656399999999998</v>
      </c>
      <c r="H12" s="18">
        <v>30045.651000000002</v>
      </c>
      <c r="I12" s="18">
        <v>31.195</v>
      </c>
      <c r="J12" s="19">
        <f t="shared" si="0"/>
        <v>8.3460141666666665</v>
      </c>
      <c r="L12" s="17">
        <v>10286.2634</v>
      </c>
      <c r="M12" s="18">
        <v>39.430700000000002</v>
      </c>
      <c r="N12" s="18">
        <v>41.076599999999999</v>
      </c>
      <c r="O12" s="18">
        <v>41.669400000000003</v>
      </c>
      <c r="P12" s="18">
        <v>62632.754999999997</v>
      </c>
      <c r="Q12" s="18">
        <v>33.095999999999997</v>
      </c>
      <c r="R12" s="19">
        <f t="shared" si="1"/>
        <v>17.397987499999999</v>
      </c>
      <c r="S12" s="18">
        <f t="shared" si="2"/>
        <v>2.0845863848981003</v>
      </c>
      <c r="T12" s="18">
        <f t="shared" si="2"/>
        <v>1.0609392530854302</v>
      </c>
      <c r="U12" s="59"/>
      <c r="V12" s="42"/>
      <c r="W12" s="25"/>
      <c r="X12" s="25"/>
      <c r="Y12" s="42"/>
      <c r="Z12" s="25"/>
      <c r="AA12" s="54"/>
    </row>
    <row r="13" spans="1:27">
      <c r="A13" s="35"/>
      <c r="B13" s="35"/>
      <c r="C13" s="35">
        <v>32</v>
      </c>
      <c r="D13" s="17">
        <v>4058.9281999999998</v>
      </c>
      <c r="E13" s="18">
        <v>37.231400000000001</v>
      </c>
      <c r="F13" s="18">
        <v>38.677100000000003</v>
      </c>
      <c r="G13" s="18">
        <v>40.134599999999999</v>
      </c>
      <c r="H13" s="18">
        <v>25473.468000000001</v>
      </c>
      <c r="I13" s="18">
        <v>28.106999999999999</v>
      </c>
      <c r="J13" s="19">
        <f t="shared" si="0"/>
        <v>7.0759633333333332</v>
      </c>
      <c r="L13" s="17">
        <v>4042.8245000000002</v>
      </c>
      <c r="M13" s="18">
        <v>37.267099999999999</v>
      </c>
      <c r="N13" s="18">
        <v>38.6815</v>
      </c>
      <c r="O13" s="18">
        <v>40.137099999999997</v>
      </c>
      <c r="P13" s="18">
        <v>53953.805999999997</v>
      </c>
      <c r="Q13" s="18">
        <v>27.405999999999999</v>
      </c>
      <c r="R13" s="19">
        <f t="shared" si="1"/>
        <v>14.987168333333333</v>
      </c>
      <c r="S13" s="18">
        <f t="shared" si="2"/>
        <v>2.1180392869946094</v>
      </c>
      <c r="T13" s="18">
        <f t="shared" si="2"/>
        <v>0.97505959369552064</v>
      </c>
      <c r="U13" s="59"/>
      <c r="V13" s="42"/>
      <c r="W13" s="25"/>
      <c r="X13" s="25"/>
      <c r="Y13" s="42"/>
      <c r="Z13" s="25"/>
      <c r="AA13" s="54"/>
    </row>
    <row r="14" spans="1:27" ht="12.75" thickBot="1">
      <c r="A14" s="35"/>
      <c r="B14" s="36"/>
      <c r="C14" s="36">
        <v>37</v>
      </c>
      <c r="D14" s="22">
        <v>2208.5171</v>
      </c>
      <c r="E14" s="23">
        <v>35.887099999999997</v>
      </c>
      <c r="F14" s="23">
        <v>37.022199999999998</v>
      </c>
      <c r="G14" s="23">
        <v>38.982599999999998</v>
      </c>
      <c r="H14" s="23">
        <v>22006.368999999999</v>
      </c>
      <c r="I14" s="23">
        <v>20.492999999999999</v>
      </c>
      <c r="J14" s="24">
        <f t="shared" si="0"/>
        <v>6.1128802777777773</v>
      </c>
      <c r="L14" s="22">
        <v>2194.4920999999999</v>
      </c>
      <c r="M14" s="23">
        <v>35.909799999999997</v>
      </c>
      <c r="N14" s="23">
        <v>37.0227</v>
      </c>
      <c r="O14" s="23">
        <v>38.980699999999999</v>
      </c>
      <c r="P14" s="23">
        <v>47325.447</v>
      </c>
      <c r="Q14" s="23">
        <v>38.375</v>
      </c>
      <c r="R14" s="24">
        <f t="shared" si="1"/>
        <v>13.1459575</v>
      </c>
      <c r="S14" s="18">
        <f t="shared" si="2"/>
        <v>2.1505341021955964</v>
      </c>
      <c r="T14" s="18">
        <f t="shared" si="2"/>
        <v>1.8725906407065829</v>
      </c>
      <c r="U14" s="59"/>
      <c r="V14" s="43"/>
      <c r="W14" s="55"/>
      <c r="X14" s="55"/>
      <c r="Y14" s="43"/>
      <c r="Z14" s="55"/>
      <c r="AA14" s="56"/>
    </row>
    <row r="15" spans="1:27">
      <c r="A15" s="11" t="s">
        <v>73</v>
      </c>
      <c r="B15" s="11" t="s">
        <v>418</v>
      </c>
      <c r="C15" s="11">
        <v>22</v>
      </c>
      <c r="D15" s="12">
        <v>35351.1584</v>
      </c>
      <c r="E15" s="13">
        <v>42.0062</v>
      </c>
      <c r="F15" s="13">
        <v>42.753</v>
      </c>
      <c r="G15" s="13">
        <v>44.274999999999999</v>
      </c>
      <c r="H15" s="13">
        <v>37420.733999999997</v>
      </c>
      <c r="I15" s="13">
        <v>35.286000000000001</v>
      </c>
      <c r="J15" s="14">
        <f>H15/3600</f>
        <v>10.394648333333333</v>
      </c>
      <c r="L15" s="12">
        <v>35414.406300000002</v>
      </c>
      <c r="M15" s="13">
        <v>42.086799999999997</v>
      </c>
      <c r="N15" s="13">
        <v>42.758699999999997</v>
      </c>
      <c r="O15" s="13">
        <v>44.283000000000001</v>
      </c>
      <c r="P15" s="13">
        <v>80124.933999999994</v>
      </c>
      <c r="Q15" s="13">
        <v>41.712000000000003</v>
      </c>
      <c r="R15" s="14">
        <f>P15/3600</f>
        <v>22.25692611111111</v>
      </c>
      <c r="S15" s="13">
        <f>P15/H15</f>
        <v>2.141190870280631</v>
      </c>
      <c r="T15" s="13">
        <f>Q15/I15</f>
        <v>1.1821118857337187</v>
      </c>
      <c r="U15" s="58"/>
      <c r="V15" s="41">
        <f>bdrate($D15:$D18,E15:E18,$L15:$L18,M15:M18)</f>
        <v>-2.7636596501830923E-2</v>
      </c>
      <c r="W15" s="46">
        <f>bdrate($D15:$D18,F15:F18,$L15:$L18,N15:N18)</f>
        <v>-1.746758496910461E-2</v>
      </c>
      <c r="X15" s="47">
        <f>bdrate($D15:$D18,G15:G18,$L15:$L18,O15:O18)</f>
        <v>-1.6259791999919337E-2</v>
      </c>
      <c r="Y15" s="41">
        <f>bdrateOld($D15:$D18,E15:E18,$L15:$L18,M15:M18)</f>
        <v>-2.7335693193148325E-2</v>
      </c>
      <c r="Z15" s="46">
        <f>bdrateOld($D15:$D18,F15:F18,$L15:$L18,N15:N18)</f>
        <v>-1.7151325289066932E-2</v>
      </c>
      <c r="AA15" s="47">
        <f>bdrateOld($D15:$D18,G15:G18,$L15:$L18,O15:O18)</f>
        <v>-1.6381865317388722E-2</v>
      </c>
    </row>
    <row r="16" spans="1:27">
      <c r="A16" s="16" t="s">
        <v>46</v>
      </c>
      <c r="B16" s="16"/>
      <c r="C16" s="16">
        <v>27</v>
      </c>
      <c r="D16" s="17">
        <v>13100.4205</v>
      </c>
      <c r="E16" s="18">
        <v>39.787399999999998</v>
      </c>
      <c r="F16" s="18">
        <v>41.411200000000001</v>
      </c>
      <c r="G16" s="18">
        <v>42.506900000000002</v>
      </c>
      <c r="H16" s="18">
        <v>30639.853999999999</v>
      </c>
      <c r="I16" s="18">
        <v>27.93</v>
      </c>
      <c r="J16" s="19">
        <f t="shared" ref="J16:J26" si="3">H16/3600</f>
        <v>8.5110705555555555</v>
      </c>
      <c r="L16" s="17">
        <v>12930.881100000001</v>
      </c>
      <c r="M16" s="18">
        <v>39.822899999999997</v>
      </c>
      <c r="N16" s="18">
        <v>41.419199999999996</v>
      </c>
      <c r="O16" s="18">
        <v>42.517800000000001</v>
      </c>
      <c r="P16" s="18">
        <v>64790.938999999998</v>
      </c>
      <c r="Q16" s="18">
        <v>37.826000000000001</v>
      </c>
      <c r="R16" s="19">
        <f t="shared" ref="R16:R26" si="4">P16/3600</f>
        <v>17.997483055555556</v>
      </c>
      <c r="S16" s="18">
        <f t="shared" ref="S16:S26" si="5">P16/H16</f>
        <v>2.1145968580659686</v>
      </c>
      <c r="T16" s="18">
        <f t="shared" ref="T16:T26" si="6">Q16/I16</f>
        <v>1.3543143573218761</v>
      </c>
      <c r="U16" s="59"/>
      <c r="V16" s="42"/>
      <c r="W16" s="25"/>
      <c r="X16" s="54"/>
      <c r="Y16" s="42"/>
      <c r="Z16" s="25"/>
      <c r="AA16" s="54"/>
    </row>
    <row r="17" spans="1:27">
      <c r="A17" s="16"/>
      <c r="B17" s="16"/>
      <c r="C17" s="16">
        <v>32</v>
      </c>
      <c r="D17" s="17">
        <v>7507.7273999999998</v>
      </c>
      <c r="E17" s="18">
        <v>38.4069</v>
      </c>
      <c r="F17" s="18">
        <v>40.5105</v>
      </c>
      <c r="G17" s="18">
        <v>41.031399999999998</v>
      </c>
      <c r="H17" s="18">
        <v>26949.008999999998</v>
      </c>
      <c r="I17" s="18">
        <v>26.826000000000001</v>
      </c>
      <c r="J17" s="19">
        <f t="shared" si="3"/>
        <v>7.4858358333333328</v>
      </c>
      <c r="L17" s="17">
        <v>7392.1674000000003</v>
      </c>
      <c r="M17" s="18">
        <v>38.438499999999998</v>
      </c>
      <c r="N17" s="18">
        <v>40.524500000000003</v>
      </c>
      <c r="O17" s="18">
        <v>41.040399999999998</v>
      </c>
      <c r="P17" s="18">
        <v>55873.15</v>
      </c>
      <c r="Q17" s="18">
        <v>48.350999999999999</v>
      </c>
      <c r="R17" s="19">
        <f t="shared" si="4"/>
        <v>15.520319444444445</v>
      </c>
      <c r="S17" s="18">
        <f t="shared" si="5"/>
        <v>2.0732914520159165</v>
      </c>
      <c r="T17" s="18">
        <f t="shared" si="6"/>
        <v>1.802393200626258</v>
      </c>
      <c r="U17" s="59"/>
      <c r="V17" s="42"/>
      <c r="W17" s="25"/>
      <c r="X17" s="54"/>
      <c r="Y17" s="42"/>
      <c r="Z17" s="25"/>
      <c r="AA17" s="54"/>
    </row>
    <row r="18" spans="1:27" ht="12.75" thickBot="1">
      <c r="A18" s="16"/>
      <c r="B18" s="21"/>
      <c r="C18" s="21">
        <v>37</v>
      </c>
      <c r="D18" s="22">
        <v>4481.9084000000003</v>
      </c>
      <c r="E18" s="23">
        <v>36.584299999999999</v>
      </c>
      <c r="F18" s="23">
        <v>39.756399999999999</v>
      </c>
      <c r="G18" s="23">
        <v>39.8371</v>
      </c>
      <c r="H18" s="23">
        <v>26285.127</v>
      </c>
      <c r="I18" s="23">
        <v>20.312999999999999</v>
      </c>
      <c r="J18" s="24">
        <f t="shared" si="3"/>
        <v>7.301424166666667</v>
      </c>
      <c r="L18" s="22">
        <v>4411.95</v>
      </c>
      <c r="M18" s="23">
        <v>36.613199999999999</v>
      </c>
      <c r="N18" s="23">
        <v>39.764299999999999</v>
      </c>
      <c r="O18" s="23">
        <v>39.847900000000003</v>
      </c>
      <c r="P18" s="23">
        <v>51191.421999999999</v>
      </c>
      <c r="Q18" s="23">
        <v>31.239000000000001</v>
      </c>
      <c r="R18" s="24">
        <f t="shared" si="4"/>
        <v>14.219839444444444</v>
      </c>
      <c r="S18" s="18">
        <f t="shared" si="5"/>
        <v>1.9475432627736589</v>
      </c>
      <c r="T18" s="18">
        <f t="shared" si="6"/>
        <v>1.5378821444395216</v>
      </c>
      <c r="U18" s="59"/>
      <c r="V18" s="43"/>
      <c r="W18" s="55"/>
      <c r="X18" s="56"/>
      <c r="Y18" s="43"/>
      <c r="Z18" s="55"/>
      <c r="AA18" s="56"/>
    </row>
    <row r="19" spans="1:27">
      <c r="A19" s="16"/>
      <c r="B19" s="16" t="s">
        <v>419</v>
      </c>
      <c r="C19" s="11">
        <v>22</v>
      </c>
      <c r="D19" s="12">
        <v>54951.577899999997</v>
      </c>
      <c r="E19" s="13">
        <v>40.742899999999999</v>
      </c>
      <c r="F19" s="13">
        <v>46.011099999999999</v>
      </c>
      <c r="G19" s="13">
        <v>44.220199999999998</v>
      </c>
      <c r="H19" s="13">
        <v>42245.303999999996</v>
      </c>
      <c r="I19" s="13">
        <v>49.725999999999999</v>
      </c>
      <c r="J19" s="14">
        <f t="shared" si="3"/>
        <v>11.734806666666666</v>
      </c>
      <c r="L19" s="12">
        <v>55172.017899999999</v>
      </c>
      <c r="M19" s="13">
        <v>40.833500000000001</v>
      </c>
      <c r="N19" s="13">
        <v>46.032699999999998</v>
      </c>
      <c r="O19" s="13">
        <v>44.234099999999998</v>
      </c>
      <c r="P19" s="13">
        <v>90901.122000000003</v>
      </c>
      <c r="Q19" s="13">
        <v>52.222000000000001</v>
      </c>
      <c r="R19" s="14">
        <f t="shared" si="4"/>
        <v>25.250311666666668</v>
      </c>
      <c r="S19" s="18">
        <f t="shared" si="5"/>
        <v>2.1517450081552263</v>
      </c>
      <c r="T19" s="18">
        <f t="shared" si="6"/>
        <v>1.0501950689779995</v>
      </c>
      <c r="U19" s="59"/>
      <c r="V19" s="41">
        <f>bdrate($D19:$D22,E19:E22,$L19:$L22,M19:M22)</f>
        <v>-2.7431481667764768E-2</v>
      </c>
      <c r="W19" s="46">
        <f>bdrate($D19:$D22,F19:F22,$L19:$L22,N19:N22)</f>
        <v>-2.201063141319537E-2</v>
      </c>
      <c r="X19" s="46">
        <f>bdrate($D19:$D22,G19:G22,$L19:$L22,O19:O22)</f>
        <v>-1.960472951026393E-2</v>
      </c>
      <c r="Y19" s="44">
        <f>bdrateOld($D19:$D22,E19:E22,$L19:$L22,M19:M22)</f>
        <v>-2.2763158827733609E-2</v>
      </c>
      <c r="Z19" s="48">
        <f>bdrateOld($D19:$D22,F19:F22,$L19:$L22,N19:N22)</f>
        <v>-2.2270994700739344E-2</v>
      </c>
      <c r="AA19" s="49">
        <f>bdrateOld($D19:$D22,G19:G22,$L19:$L22,O19:O22)</f>
        <v>-1.9716176082789638E-2</v>
      </c>
    </row>
    <row r="20" spans="1:27">
      <c r="A20" s="16"/>
      <c r="B20" s="16"/>
      <c r="C20" s="16">
        <v>27</v>
      </c>
      <c r="D20" s="17">
        <v>13393.248900000001</v>
      </c>
      <c r="E20" s="18">
        <v>37.708500000000001</v>
      </c>
      <c r="F20" s="18">
        <v>44.661499999999997</v>
      </c>
      <c r="G20" s="18">
        <v>42.553800000000003</v>
      </c>
      <c r="H20" s="18">
        <v>33774.156999999999</v>
      </c>
      <c r="I20" s="18">
        <v>27.088000000000001</v>
      </c>
      <c r="J20" s="19">
        <f t="shared" si="3"/>
        <v>9.3817102777777777</v>
      </c>
      <c r="L20" s="17">
        <v>13213.732099999999</v>
      </c>
      <c r="M20" s="18">
        <v>37.732399999999998</v>
      </c>
      <c r="N20" s="18">
        <v>44.673699999999997</v>
      </c>
      <c r="O20" s="18">
        <v>42.5642</v>
      </c>
      <c r="P20" s="18">
        <v>67514.024000000005</v>
      </c>
      <c r="Q20" s="18">
        <v>36.133000000000003</v>
      </c>
      <c r="R20" s="19">
        <f t="shared" si="4"/>
        <v>18.753895555555555</v>
      </c>
      <c r="S20" s="18">
        <f t="shared" si="5"/>
        <v>1.9989847266950291</v>
      </c>
      <c r="T20" s="18">
        <f t="shared" si="6"/>
        <v>1.3339116952155936</v>
      </c>
      <c r="U20" s="59"/>
      <c r="V20" s="42"/>
      <c r="W20" s="25"/>
      <c r="X20" s="25"/>
      <c r="Y20" s="42"/>
      <c r="Z20" s="25"/>
      <c r="AA20" s="54"/>
    </row>
    <row r="21" spans="1:27">
      <c r="A21" s="16"/>
      <c r="B21" s="16"/>
      <c r="C21" s="16">
        <v>32</v>
      </c>
      <c r="D21" s="17">
        <v>7192.98</v>
      </c>
      <c r="E21" s="18">
        <v>36.6524</v>
      </c>
      <c r="F21" s="18">
        <v>43.446399999999997</v>
      </c>
      <c r="G21" s="18">
        <v>41.213999999999999</v>
      </c>
      <c r="H21" s="18">
        <v>28249.811000000002</v>
      </c>
      <c r="I21" s="18">
        <v>24.119</v>
      </c>
      <c r="J21" s="19">
        <f t="shared" si="3"/>
        <v>7.8471697222222225</v>
      </c>
      <c r="L21" s="17">
        <v>7073.3020999999999</v>
      </c>
      <c r="M21" s="18">
        <v>36.680999999999997</v>
      </c>
      <c r="N21" s="18">
        <v>43.454300000000003</v>
      </c>
      <c r="O21" s="18">
        <v>41.226300000000002</v>
      </c>
      <c r="P21" s="18">
        <v>56945.298999999999</v>
      </c>
      <c r="Q21" s="18">
        <v>33.863</v>
      </c>
      <c r="R21" s="19">
        <f t="shared" si="4"/>
        <v>15.818138611111111</v>
      </c>
      <c r="S21" s="18">
        <f t="shared" si="5"/>
        <v>2.0157762825386687</v>
      </c>
      <c r="T21" s="18">
        <f t="shared" si="6"/>
        <v>1.4039968489572536</v>
      </c>
      <c r="U21" s="59"/>
      <c r="V21" s="42"/>
      <c r="W21" s="25"/>
      <c r="X21" s="25"/>
      <c r="Y21" s="42"/>
      <c r="Z21" s="25"/>
      <c r="AA21" s="54"/>
    </row>
    <row r="22" spans="1:27" ht="12.75" thickBot="1">
      <c r="A22" s="16"/>
      <c r="B22" s="21"/>
      <c r="C22" s="21">
        <v>37</v>
      </c>
      <c r="D22" s="22">
        <v>3981.2195000000002</v>
      </c>
      <c r="E22" s="23">
        <v>35.217700000000001</v>
      </c>
      <c r="F22" s="23">
        <v>42.510100000000001</v>
      </c>
      <c r="G22" s="23">
        <v>40.208300000000001</v>
      </c>
      <c r="H22" s="23">
        <v>25609.126</v>
      </c>
      <c r="I22" s="23">
        <v>19.722999999999999</v>
      </c>
      <c r="J22" s="24">
        <f t="shared" si="3"/>
        <v>7.1136461111111116</v>
      </c>
      <c r="L22" s="22">
        <v>3914.7979</v>
      </c>
      <c r="M22" s="23">
        <v>35.248199999999997</v>
      </c>
      <c r="N22" s="23">
        <v>42.517299999999999</v>
      </c>
      <c r="O22" s="23">
        <v>40.220100000000002</v>
      </c>
      <c r="P22" s="23">
        <v>54334.923999999999</v>
      </c>
      <c r="Q22" s="23">
        <v>30.263000000000002</v>
      </c>
      <c r="R22" s="24">
        <f t="shared" si="4"/>
        <v>15.093034444444443</v>
      </c>
      <c r="S22" s="18">
        <f t="shared" si="5"/>
        <v>2.1217016152757417</v>
      </c>
      <c r="T22" s="18">
        <f t="shared" si="6"/>
        <v>1.5344014602241041</v>
      </c>
      <c r="U22" s="59"/>
      <c r="V22" s="43"/>
      <c r="W22" s="55"/>
      <c r="X22" s="55"/>
      <c r="Y22" s="43"/>
      <c r="Z22" s="55"/>
      <c r="AA22" s="56"/>
    </row>
    <row r="23" spans="1:27">
      <c r="A23" s="35"/>
      <c r="B23" s="16" t="s">
        <v>420</v>
      </c>
      <c r="C23" s="34">
        <v>22</v>
      </c>
      <c r="D23" s="12">
        <v>55586.478900000002</v>
      </c>
      <c r="E23" s="13">
        <v>45.768599999999999</v>
      </c>
      <c r="F23" s="13">
        <v>41.098599999999998</v>
      </c>
      <c r="G23" s="13">
        <v>41.490200000000002</v>
      </c>
      <c r="H23" s="13">
        <v>33784.239999999998</v>
      </c>
      <c r="I23" s="13">
        <v>36.886000000000003</v>
      </c>
      <c r="J23" s="14">
        <f t="shared" si="3"/>
        <v>9.3845111111111112</v>
      </c>
      <c r="L23" s="12">
        <v>55249.860500000003</v>
      </c>
      <c r="M23" s="13">
        <v>45.932699999999997</v>
      </c>
      <c r="N23" s="13">
        <v>41.111600000000003</v>
      </c>
      <c r="O23" s="13">
        <v>41.505600000000001</v>
      </c>
      <c r="P23" s="13">
        <v>77154.38</v>
      </c>
      <c r="Q23" s="13">
        <v>47.088999999999999</v>
      </c>
      <c r="R23" s="14">
        <f t="shared" si="4"/>
        <v>21.431772222222225</v>
      </c>
      <c r="S23" s="18">
        <f t="shared" si="5"/>
        <v>2.2837388083911319</v>
      </c>
      <c r="T23" s="18">
        <f t="shared" si="6"/>
        <v>1.2766090115490971</v>
      </c>
      <c r="U23" s="59"/>
      <c r="V23" s="41">
        <f>bdrate($D23:$D26,E23:E26,$L23:$L26,M23:M26)</f>
        <v>-2.409940545348932E-2</v>
      </c>
      <c r="W23" s="46">
        <f>bdrate($D23:$D26,F23:F26,$L23:$L26,N23:N26)</f>
        <v>-9.5417274165604526E-3</v>
      </c>
      <c r="X23" s="46">
        <f>bdrate($D23:$D26,G23:G26,$L23:$L26,O23:O26)</f>
        <v>-1.2189067256598851E-2</v>
      </c>
      <c r="Y23" s="44">
        <f>bdrateOld($D23:$D26,E23:E26,$L23:$L26,M23:M26)</f>
        <v>-2.4102950616900931E-2</v>
      </c>
      <c r="Z23" s="48">
        <f>bdrateOld($D23:$D26,F23:F26,$L23:$L26,N23:N26)</f>
        <v>-9.3446069213535266E-3</v>
      </c>
      <c r="AA23" s="49">
        <f>bdrateOld($D23:$D26,G23:G26,$L23:$L26,O23:O26)</f>
        <v>-1.1820841980677455E-2</v>
      </c>
    </row>
    <row r="24" spans="1:27">
      <c r="A24" s="35"/>
      <c r="B24" s="16"/>
      <c r="C24" s="35">
        <v>27</v>
      </c>
      <c r="D24" s="17">
        <v>31694.1</v>
      </c>
      <c r="E24" s="18">
        <v>42.005800000000001</v>
      </c>
      <c r="F24" s="18">
        <v>37.318100000000001</v>
      </c>
      <c r="G24" s="18">
        <v>38.161099999999998</v>
      </c>
      <c r="H24" s="18">
        <v>33519.069000000003</v>
      </c>
      <c r="I24" s="18">
        <v>32.072000000000003</v>
      </c>
      <c r="J24" s="19">
        <f t="shared" si="3"/>
        <v>9.3108525000000011</v>
      </c>
      <c r="L24" s="17">
        <v>31536.298699999999</v>
      </c>
      <c r="M24" s="18">
        <v>42.135199999999998</v>
      </c>
      <c r="N24" s="18">
        <v>37.335799999999999</v>
      </c>
      <c r="O24" s="18">
        <v>38.186100000000003</v>
      </c>
      <c r="P24" s="18">
        <v>75122.926000000007</v>
      </c>
      <c r="Q24" s="18">
        <v>42.951999999999998</v>
      </c>
      <c r="R24" s="19">
        <f t="shared" si="4"/>
        <v>20.867479444444445</v>
      </c>
      <c r="S24" s="18">
        <f t="shared" si="5"/>
        <v>2.2411996586182035</v>
      </c>
      <c r="T24" s="18">
        <f t="shared" si="6"/>
        <v>1.3392367173858817</v>
      </c>
      <c r="U24" s="59"/>
      <c r="V24" s="42"/>
      <c r="W24" s="25"/>
      <c r="X24" s="25"/>
      <c r="Y24" s="42"/>
      <c r="Z24" s="25"/>
      <c r="AA24" s="54"/>
    </row>
    <row r="25" spans="1:27">
      <c r="A25" s="35"/>
      <c r="B25" s="35"/>
      <c r="C25" s="35">
        <v>32</v>
      </c>
      <c r="D25" s="17">
        <v>17726.963199999998</v>
      </c>
      <c r="E25" s="18">
        <v>38.432600000000001</v>
      </c>
      <c r="F25" s="18">
        <v>34.744300000000003</v>
      </c>
      <c r="G25" s="18">
        <v>35.883400000000002</v>
      </c>
      <c r="H25" s="18">
        <v>31581.303</v>
      </c>
      <c r="I25" s="18">
        <v>29.584</v>
      </c>
      <c r="J25" s="19">
        <f t="shared" si="3"/>
        <v>8.7725841666666664</v>
      </c>
      <c r="L25" s="17">
        <v>17624.206600000001</v>
      </c>
      <c r="M25" s="18">
        <v>38.530500000000004</v>
      </c>
      <c r="N25" s="18">
        <v>34.766399999999997</v>
      </c>
      <c r="O25" s="18">
        <v>35.917400000000001</v>
      </c>
      <c r="P25" s="18">
        <v>68145.255999999994</v>
      </c>
      <c r="Q25" s="18">
        <v>38.308999999999997</v>
      </c>
      <c r="R25" s="19">
        <f t="shared" si="4"/>
        <v>18.929237777777775</v>
      </c>
      <c r="S25" s="18">
        <f t="shared" si="5"/>
        <v>2.1577721476533123</v>
      </c>
      <c r="T25" s="18">
        <f t="shared" si="6"/>
        <v>1.2949229313142239</v>
      </c>
      <c r="U25" s="59"/>
      <c r="V25" s="42"/>
      <c r="W25" s="25"/>
      <c r="X25" s="25"/>
      <c r="Y25" s="42"/>
      <c r="Z25" s="25"/>
      <c r="AA25" s="54"/>
    </row>
    <row r="26" spans="1:27" ht="12.75" thickBot="1">
      <c r="A26" s="35"/>
      <c r="B26" s="36"/>
      <c r="C26" s="36">
        <v>37</v>
      </c>
      <c r="D26" s="22">
        <v>9766.6684000000005</v>
      </c>
      <c r="E26" s="23">
        <v>35.153700000000001</v>
      </c>
      <c r="F26" s="23">
        <v>32.997300000000003</v>
      </c>
      <c r="G26" s="23">
        <v>34.349800000000002</v>
      </c>
      <c r="H26" s="23">
        <v>28339.977999999999</v>
      </c>
      <c r="I26" s="23">
        <v>24.960999999999999</v>
      </c>
      <c r="J26" s="24">
        <f t="shared" si="3"/>
        <v>7.8722161111111113</v>
      </c>
      <c r="L26" s="22">
        <v>9713.0223999999998</v>
      </c>
      <c r="M26" s="23">
        <v>35.240400000000001</v>
      </c>
      <c r="N26" s="23">
        <v>33.019500000000001</v>
      </c>
      <c r="O26" s="23">
        <v>34.381700000000002</v>
      </c>
      <c r="P26" s="23">
        <v>60963.415000000001</v>
      </c>
      <c r="Q26" s="23">
        <v>39.369</v>
      </c>
      <c r="R26" s="24">
        <f t="shared" si="4"/>
        <v>16.934281944444443</v>
      </c>
      <c r="S26" s="18">
        <f t="shared" si="5"/>
        <v>2.1511454596048027</v>
      </c>
      <c r="T26" s="18">
        <f t="shared" si="6"/>
        <v>1.5772204639237211</v>
      </c>
      <c r="U26" s="59"/>
      <c r="V26" s="43"/>
      <c r="W26" s="55"/>
      <c r="X26" s="55"/>
      <c r="Y26" s="43"/>
      <c r="Z26" s="55"/>
      <c r="AA26" s="56"/>
    </row>
    <row r="27" spans="1:27">
      <c r="A27" s="11" t="s">
        <v>1</v>
      </c>
      <c r="B27" s="11" t="s">
        <v>422</v>
      </c>
      <c r="C27" s="11">
        <v>22</v>
      </c>
      <c r="D27" s="12">
        <v>11260.42</v>
      </c>
      <c r="E27" s="13">
        <v>42.567300000000003</v>
      </c>
      <c r="F27" s="13">
        <v>45.205300000000001</v>
      </c>
      <c r="G27" s="13">
        <v>45.600099999999998</v>
      </c>
      <c r="H27" s="13">
        <v>21505.159</v>
      </c>
      <c r="I27" s="13">
        <v>27.393999999999998</v>
      </c>
      <c r="J27" s="14">
        <f>H27/3600</f>
        <v>5.9736552777777776</v>
      </c>
      <c r="L27" s="12">
        <v>11157.488799999999</v>
      </c>
      <c r="M27" s="13">
        <v>42.651299999999999</v>
      </c>
      <c r="N27" s="13">
        <v>45.225000000000001</v>
      </c>
      <c r="O27" s="13">
        <v>45.607900000000001</v>
      </c>
      <c r="P27" s="13">
        <v>51802.946000000004</v>
      </c>
      <c r="Q27" s="13">
        <v>31.606000000000002</v>
      </c>
      <c r="R27" s="14">
        <f>P27/3600</f>
        <v>14.389707222222222</v>
      </c>
      <c r="S27" s="13">
        <f>P27/H27</f>
        <v>2.4088613341570739</v>
      </c>
      <c r="T27" s="13">
        <f>Q27/I27</f>
        <v>1.1537562969993431</v>
      </c>
      <c r="U27" s="58"/>
      <c r="V27" s="41">
        <f>bdrate($D27:$D30,E27:E30,$L27:$L30,M27:M30)</f>
        <v>-3.1337461172359249E-2</v>
      </c>
      <c r="W27" s="46">
        <f>bdrate($D27:$D30,F27:F30,$L27:$L30,N27:N30)</f>
        <v>-1.5382045995267823E-2</v>
      </c>
      <c r="X27" s="47">
        <f>bdrate($D27:$D30,G27:G30,$L27:$L30,O27:O30)</f>
        <v>-9.7705110818632201E-3</v>
      </c>
      <c r="Y27" s="41">
        <f>bdrateOld($D27:$D30,E27:E30,$L27:$L30,M27:M30)</f>
        <v>-3.1331281030525515E-2</v>
      </c>
      <c r="Z27" s="46">
        <f>bdrateOld($D27:$D30,F27:F30,$L27:$L30,N27:N30)</f>
        <v>-1.5553553650220264E-2</v>
      </c>
      <c r="AA27" s="47">
        <f>bdrateOld($D27:$D30,G27:G30,$L27:$L30,O27:O30)</f>
        <v>-9.5286794829939625E-3</v>
      </c>
    </row>
    <row r="28" spans="1:27">
      <c r="A28" s="16" t="s">
        <v>47</v>
      </c>
      <c r="B28" s="16"/>
      <c r="C28" s="16">
        <v>27</v>
      </c>
      <c r="D28" s="17">
        <v>6106.9888000000001</v>
      </c>
      <c r="E28" s="18">
        <v>39.9709</v>
      </c>
      <c r="F28" s="18">
        <v>42.859900000000003</v>
      </c>
      <c r="G28" s="18">
        <v>43.630299999999998</v>
      </c>
      <c r="H28" s="18">
        <v>19177.812999999998</v>
      </c>
      <c r="I28" s="18">
        <v>22.584</v>
      </c>
      <c r="J28" s="19">
        <f t="shared" ref="J28:J46" si="7">H28/3600</f>
        <v>5.3271702777777774</v>
      </c>
      <c r="L28" s="17">
        <v>6027.8112000000001</v>
      </c>
      <c r="M28" s="18">
        <v>40.052500000000002</v>
      </c>
      <c r="N28" s="18">
        <v>42.871899999999997</v>
      </c>
      <c r="O28" s="18">
        <v>43.627400000000002</v>
      </c>
      <c r="P28" s="18">
        <v>50056.985000000001</v>
      </c>
      <c r="Q28" s="18">
        <v>22.431999999999999</v>
      </c>
      <c r="R28" s="19">
        <f t="shared" ref="R28:R46" si="8">P28/3600</f>
        <v>13.904718055555556</v>
      </c>
      <c r="S28" s="18">
        <f t="shared" ref="S28:S46" si="9">P28/H28</f>
        <v>2.6101508550531807</v>
      </c>
      <c r="T28" s="18">
        <f t="shared" ref="T28:T46" si="10">Q28/I28</f>
        <v>0.99326957137796668</v>
      </c>
      <c r="U28" s="59"/>
      <c r="V28" s="42"/>
      <c r="W28" s="25"/>
      <c r="X28" s="54"/>
      <c r="Y28" s="42"/>
      <c r="Z28" s="25"/>
      <c r="AA28" s="54"/>
    </row>
    <row r="29" spans="1:27">
      <c r="A29" s="16"/>
      <c r="B29" s="16"/>
      <c r="C29" s="16">
        <v>32</v>
      </c>
      <c r="D29" s="17">
        <v>3397.4384</v>
      </c>
      <c r="E29" s="18">
        <v>37.507300000000001</v>
      </c>
      <c r="F29" s="18">
        <v>41.192300000000003</v>
      </c>
      <c r="G29" s="18">
        <v>42.2149</v>
      </c>
      <c r="H29" s="18">
        <v>17061.069</v>
      </c>
      <c r="I29" s="18">
        <v>37.966000000000001</v>
      </c>
      <c r="J29" s="19">
        <f t="shared" si="7"/>
        <v>4.739185833333333</v>
      </c>
      <c r="L29" s="17">
        <v>3362.5183999999999</v>
      </c>
      <c r="M29" s="18">
        <v>37.602400000000003</v>
      </c>
      <c r="N29" s="18">
        <v>41.202800000000003</v>
      </c>
      <c r="O29" s="18">
        <v>42.212499999999999</v>
      </c>
      <c r="P29" s="18">
        <v>45339.525000000001</v>
      </c>
      <c r="Q29" s="18">
        <v>28.594000000000001</v>
      </c>
      <c r="R29" s="19">
        <f t="shared" si="8"/>
        <v>12.594312500000001</v>
      </c>
      <c r="S29" s="18">
        <f t="shared" si="9"/>
        <v>2.6574844167150373</v>
      </c>
      <c r="T29" s="18">
        <f t="shared" si="10"/>
        <v>0.75314755307380288</v>
      </c>
      <c r="U29" s="59"/>
      <c r="V29" s="42"/>
      <c r="W29" s="25"/>
      <c r="X29" s="54"/>
      <c r="Y29" s="42"/>
      <c r="Z29" s="25"/>
      <c r="AA29" s="54"/>
    </row>
    <row r="30" spans="1:27" ht="12.75" thickBot="1">
      <c r="A30" s="16"/>
      <c r="B30" s="21"/>
      <c r="C30" s="21">
        <v>37</v>
      </c>
      <c r="D30" s="22">
        <v>1805.8584000000001</v>
      </c>
      <c r="E30" s="23">
        <v>34.979300000000002</v>
      </c>
      <c r="F30" s="23">
        <v>40.086599999999997</v>
      </c>
      <c r="G30" s="23">
        <v>41.146799999999999</v>
      </c>
      <c r="H30" s="23">
        <v>19273.945</v>
      </c>
      <c r="I30" s="23">
        <v>16.294</v>
      </c>
      <c r="J30" s="24">
        <f t="shared" si="7"/>
        <v>5.3538736111111112</v>
      </c>
      <c r="L30" s="22">
        <v>1799.7080000000001</v>
      </c>
      <c r="M30" s="23">
        <v>35.076999999999998</v>
      </c>
      <c r="N30" s="23">
        <v>40.101599999999998</v>
      </c>
      <c r="O30" s="23">
        <v>41.137599999999999</v>
      </c>
      <c r="P30" s="23">
        <v>39480.364999999998</v>
      </c>
      <c r="Q30" s="23">
        <v>28.597999999999999</v>
      </c>
      <c r="R30" s="24">
        <f t="shared" si="8"/>
        <v>10.966768055555555</v>
      </c>
      <c r="S30" s="18">
        <f t="shared" si="9"/>
        <v>2.0483800799473069</v>
      </c>
      <c r="T30" s="18">
        <f t="shared" si="10"/>
        <v>1.755124585737081</v>
      </c>
      <c r="U30" s="59"/>
      <c r="V30" s="43"/>
      <c r="W30" s="55"/>
      <c r="X30" s="56"/>
      <c r="Y30" s="43"/>
      <c r="Z30" s="55"/>
      <c r="AA30" s="56"/>
    </row>
    <row r="31" spans="1:27">
      <c r="A31" s="16"/>
      <c r="B31" s="11" t="s">
        <v>421</v>
      </c>
      <c r="C31" s="11">
        <v>22</v>
      </c>
      <c r="D31" s="12">
        <v>6757.2439999999997</v>
      </c>
      <c r="E31" s="13">
        <v>45.696300000000001</v>
      </c>
      <c r="F31" s="13">
        <v>48.207500000000003</v>
      </c>
      <c r="G31" s="13">
        <v>48.924500000000002</v>
      </c>
      <c r="H31" s="13">
        <v>19883.514999999999</v>
      </c>
      <c r="I31" s="13">
        <v>15.507999999999999</v>
      </c>
      <c r="J31" s="14">
        <f t="shared" si="7"/>
        <v>5.5231986111111109</v>
      </c>
      <c r="L31" s="12">
        <v>6654.7704000000003</v>
      </c>
      <c r="M31" s="13">
        <v>45.801000000000002</v>
      </c>
      <c r="N31" s="13">
        <v>48.215200000000003</v>
      </c>
      <c r="O31" s="13">
        <v>48.9343</v>
      </c>
      <c r="P31" s="13">
        <v>44025.506000000001</v>
      </c>
      <c r="Q31" s="13">
        <v>31.658000000000001</v>
      </c>
      <c r="R31" s="14">
        <f t="shared" si="8"/>
        <v>12.229307222222223</v>
      </c>
      <c r="S31" s="18">
        <f t="shared" si="9"/>
        <v>2.2141711865331661</v>
      </c>
      <c r="T31" s="18">
        <f t="shared" si="10"/>
        <v>2.0413979881351563</v>
      </c>
      <c r="U31" s="59"/>
      <c r="V31" s="41">
        <f>bdrate($D31:$D34,E31:E34,$L31:$L34,M31:M34)</f>
        <v>-3.4309624278226258E-2</v>
      </c>
      <c r="W31" s="46">
        <f>bdrate($D31:$D34,F31:F34,$L31:$L34,N31:N34)</f>
        <v>-1.7876604674727958E-2</v>
      </c>
      <c r="X31" s="46">
        <f>bdrate($D31:$D34,G31:G34,$L31:$L34,O31:O34)</f>
        <v>-1.6729251545176682E-2</v>
      </c>
      <c r="Y31" s="44">
        <f>bdrateOld($D31:$D34,E31:E34,$L31:$L34,M31:M34)</f>
        <v>-3.4303481955542781E-2</v>
      </c>
      <c r="Z31" s="48">
        <f>bdrateOld($D31:$D34,F31:F34,$L31:$L34,N31:N34)</f>
        <v>-1.7428162720522722E-2</v>
      </c>
      <c r="AA31" s="49">
        <f>bdrateOld($D31:$D34,G31:G34,$L31:$L34,O31:O34)</f>
        <v>-1.6727872602415927E-2</v>
      </c>
    </row>
    <row r="32" spans="1:27">
      <c r="A32" s="16"/>
      <c r="B32" s="16"/>
      <c r="C32" s="16">
        <v>27</v>
      </c>
      <c r="D32" s="17">
        <v>3900.2103999999999</v>
      </c>
      <c r="E32" s="18">
        <v>42.807899999999997</v>
      </c>
      <c r="F32" s="18">
        <v>45.7395</v>
      </c>
      <c r="G32" s="18">
        <v>46.267499999999998</v>
      </c>
      <c r="H32" s="18">
        <v>19036.334999999999</v>
      </c>
      <c r="I32" s="18">
        <v>23.716999999999999</v>
      </c>
      <c r="J32" s="19">
        <f t="shared" si="7"/>
        <v>5.2878708333333329</v>
      </c>
      <c r="L32" s="17">
        <v>3837.5655999999999</v>
      </c>
      <c r="M32" s="18">
        <v>42.914499999999997</v>
      </c>
      <c r="N32" s="18">
        <v>45.743699999999997</v>
      </c>
      <c r="O32" s="18">
        <v>46.273099999999999</v>
      </c>
      <c r="P32" s="18">
        <v>39773.036</v>
      </c>
      <c r="Q32" s="18">
        <v>30.184000000000001</v>
      </c>
      <c r="R32" s="19">
        <f t="shared" si="8"/>
        <v>11.048065555555555</v>
      </c>
      <c r="S32" s="18">
        <f t="shared" si="9"/>
        <v>2.0893221305466625</v>
      </c>
      <c r="T32" s="18">
        <f t="shared" si="10"/>
        <v>1.2726736096470888</v>
      </c>
      <c r="U32" s="59"/>
      <c r="V32" s="42"/>
      <c r="W32" s="25"/>
      <c r="X32" s="25"/>
      <c r="Y32" s="42"/>
      <c r="Z32" s="25"/>
      <c r="AA32" s="54"/>
    </row>
    <row r="33" spans="1:27">
      <c r="A33" s="16"/>
      <c r="B33" s="16"/>
      <c r="C33" s="16">
        <v>32</v>
      </c>
      <c r="D33" s="17">
        <v>2181.2415999999998</v>
      </c>
      <c r="E33" s="18">
        <v>39.866999999999997</v>
      </c>
      <c r="F33" s="18">
        <v>43.823300000000003</v>
      </c>
      <c r="G33" s="18">
        <v>44.195799999999998</v>
      </c>
      <c r="H33" s="18">
        <v>19669.419999999998</v>
      </c>
      <c r="I33" s="18">
        <v>16.358000000000001</v>
      </c>
      <c r="J33" s="19">
        <f t="shared" si="7"/>
        <v>5.4637277777777769</v>
      </c>
      <c r="L33" s="17">
        <v>2148.1264000000001</v>
      </c>
      <c r="M33" s="18">
        <v>39.9617</v>
      </c>
      <c r="N33" s="18">
        <v>43.838799999999999</v>
      </c>
      <c r="O33" s="18">
        <v>44.199199999999998</v>
      </c>
      <c r="P33" s="18">
        <v>40442.125999999997</v>
      </c>
      <c r="Q33" s="18">
        <v>29.492000000000001</v>
      </c>
      <c r="R33" s="19">
        <f t="shared" si="8"/>
        <v>11.233923888888889</v>
      </c>
      <c r="S33" s="18">
        <f t="shared" si="9"/>
        <v>2.0560914353346464</v>
      </c>
      <c r="T33" s="18">
        <f t="shared" si="10"/>
        <v>1.8029098911847414</v>
      </c>
      <c r="U33" s="59"/>
      <c r="V33" s="42"/>
      <c r="W33" s="25"/>
      <c r="X33" s="25"/>
      <c r="Y33" s="42"/>
      <c r="Z33" s="25"/>
      <c r="AA33" s="54"/>
    </row>
    <row r="34" spans="1:27" ht="12.75" thickBot="1">
      <c r="A34" s="16"/>
      <c r="B34" s="21"/>
      <c r="C34" s="21">
        <v>37</v>
      </c>
      <c r="D34" s="22">
        <v>1191.3607999999999</v>
      </c>
      <c r="E34" s="23">
        <v>36.985599999999998</v>
      </c>
      <c r="F34" s="23">
        <v>42.508699999999997</v>
      </c>
      <c r="G34" s="23">
        <v>42.726999999999997</v>
      </c>
      <c r="H34" s="23">
        <v>14428.413</v>
      </c>
      <c r="I34" s="23">
        <v>32.613999999999997</v>
      </c>
      <c r="J34" s="24">
        <f t="shared" si="7"/>
        <v>4.0078925000000005</v>
      </c>
      <c r="L34" s="22">
        <v>1174.7752</v>
      </c>
      <c r="M34" s="23">
        <v>37.061199999999999</v>
      </c>
      <c r="N34" s="23">
        <v>42.509099999999997</v>
      </c>
      <c r="O34" s="23">
        <v>42.727499999999999</v>
      </c>
      <c r="P34" s="23">
        <v>35503.438999999998</v>
      </c>
      <c r="Q34" s="23">
        <v>24.606999999999999</v>
      </c>
      <c r="R34" s="24">
        <f t="shared" si="8"/>
        <v>9.8620663888888878</v>
      </c>
      <c r="S34" s="18">
        <f t="shared" si="9"/>
        <v>2.4606614046880968</v>
      </c>
      <c r="T34" s="18">
        <f t="shared" si="10"/>
        <v>0.75449193597841424</v>
      </c>
      <c r="U34" s="59"/>
      <c r="V34" s="43"/>
      <c r="W34" s="55"/>
      <c r="X34" s="55"/>
      <c r="Y34" s="43"/>
      <c r="Z34" s="55"/>
      <c r="AA34" s="56"/>
    </row>
    <row r="35" spans="1:27">
      <c r="A35" s="16"/>
      <c r="B35" s="11" t="s">
        <v>2</v>
      </c>
      <c r="C35" s="11">
        <v>22</v>
      </c>
      <c r="D35" s="12">
        <v>13354.884099999999</v>
      </c>
      <c r="E35" s="13">
        <v>40.721600000000002</v>
      </c>
      <c r="F35" s="13">
        <v>41.990299999999998</v>
      </c>
      <c r="G35" s="13">
        <v>44.487200000000001</v>
      </c>
      <c r="H35" s="13">
        <v>23120.996999999999</v>
      </c>
      <c r="I35" s="13">
        <v>22.253</v>
      </c>
      <c r="J35" s="14">
        <f t="shared" si="7"/>
        <v>6.4224991666666664</v>
      </c>
      <c r="L35" s="12">
        <v>13395.1968</v>
      </c>
      <c r="M35" s="13">
        <v>40.838900000000002</v>
      </c>
      <c r="N35" s="13">
        <v>41.997599999999998</v>
      </c>
      <c r="O35" s="13">
        <v>44.500799999999998</v>
      </c>
      <c r="P35" s="13">
        <v>51496.46</v>
      </c>
      <c r="Q35" s="13">
        <v>24.338999999999999</v>
      </c>
      <c r="R35" s="14">
        <f t="shared" si="8"/>
        <v>14.304572222222221</v>
      </c>
      <c r="S35" s="18">
        <f t="shared" si="9"/>
        <v>2.227259490583386</v>
      </c>
      <c r="T35" s="18">
        <f t="shared" si="10"/>
        <v>1.0937401698647373</v>
      </c>
      <c r="U35" s="59"/>
      <c r="V35" s="41">
        <f>bdrate($D35:$D38,E35:E38,$L35:$L38,M35:M38)</f>
        <v>-2.9750930654462326E-2</v>
      </c>
      <c r="W35" s="46">
        <f>bdrate($D35:$D38,F35:F38,$L35:$L38,N35:N38)</f>
        <v>-8.7774667425413178E-3</v>
      </c>
      <c r="X35" s="46">
        <f>bdrate($D35:$D38,G35:G38,$L35:$L38,O35:O38)</f>
        <v>-1.1190768642830862E-2</v>
      </c>
      <c r="Y35" s="44">
        <f>bdrateOld($D35:$D38,E35:E38,$L35:$L38,M35:M38)</f>
        <v>-2.9653295871921892E-2</v>
      </c>
      <c r="Z35" s="48">
        <f>bdrateOld($D35:$D38,F35:F38,$L35:$L38,N35:N38)</f>
        <v>-9.4317011841741349E-3</v>
      </c>
      <c r="AA35" s="49">
        <f>bdrateOld($D35:$D38,G35:G38,$L35:$L38,O35:O38)</f>
        <v>-1.1193379399568326E-2</v>
      </c>
    </row>
    <row r="36" spans="1:27">
      <c r="A36" s="16"/>
      <c r="B36" s="16"/>
      <c r="C36" s="16">
        <v>27</v>
      </c>
      <c r="D36" s="17">
        <v>6109.2357000000002</v>
      </c>
      <c r="E36" s="18">
        <v>38.060699999999997</v>
      </c>
      <c r="F36" s="18">
        <v>39.627699999999997</v>
      </c>
      <c r="G36" s="18">
        <v>42.366399999999999</v>
      </c>
      <c r="H36" s="18">
        <v>19133.132000000001</v>
      </c>
      <c r="I36" s="18">
        <v>20.47</v>
      </c>
      <c r="J36" s="19">
        <f t="shared" si="7"/>
        <v>5.314758888888889</v>
      </c>
      <c r="L36" s="17">
        <v>6051.5309999999999</v>
      </c>
      <c r="M36" s="18">
        <v>38.129300000000001</v>
      </c>
      <c r="N36" s="18">
        <v>39.634300000000003</v>
      </c>
      <c r="O36" s="18">
        <v>42.3765</v>
      </c>
      <c r="P36" s="18">
        <v>41209.148000000001</v>
      </c>
      <c r="Q36" s="18">
        <v>25.965</v>
      </c>
      <c r="R36" s="19">
        <f t="shared" si="8"/>
        <v>11.446985555555555</v>
      </c>
      <c r="S36" s="18">
        <f t="shared" si="9"/>
        <v>2.1538108867905161</v>
      </c>
      <c r="T36" s="18">
        <f t="shared" si="10"/>
        <v>1.2684416218856864</v>
      </c>
      <c r="U36" s="59"/>
      <c r="V36" s="42"/>
      <c r="W36" s="25"/>
      <c r="X36" s="25"/>
      <c r="Y36" s="42"/>
      <c r="Z36" s="25"/>
      <c r="AA36" s="54"/>
    </row>
    <row r="37" spans="1:27">
      <c r="A37" s="16"/>
      <c r="B37" s="16"/>
      <c r="C37" s="16">
        <v>32</v>
      </c>
      <c r="D37" s="17">
        <v>3284.5189999999998</v>
      </c>
      <c r="E37" s="18">
        <v>35.864600000000003</v>
      </c>
      <c r="F37" s="18">
        <v>38.550400000000003</v>
      </c>
      <c r="G37" s="18">
        <v>40.699100000000001</v>
      </c>
      <c r="H37" s="18">
        <v>17896.376</v>
      </c>
      <c r="I37" s="18">
        <v>22.484000000000002</v>
      </c>
      <c r="J37" s="19">
        <f t="shared" si="7"/>
        <v>4.9712155555555553</v>
      </c>
      <c r="L37" s="17">
        <v>3252.7952</v>
      </c>
      <c r="M37" s="18">
        <v>35.945300000000003</v>
      </c>
      <c r="N37" s="18">
        <v>38.5518</v>
      </c>
      <c r="O37" s="18">
        <v>40.7089</v>
      </c>
      <c r="P37" s="18">
        <v>35042.148000000001</v>
      </c>
      <c r="Q37" s="18">
        <v>51.935000000000002</v>
      </c>
      <c r="R37" s="19">
        <f t="shared" si="8"/>
        <v>9.7339300000000009</v>
      </c>
      <c r="S37" s="18">
        <f t="shared" si="9"/>
        <v>1.9580583242104435</v>
      </c>
      <c r="T37" s="18">
        <f t="shared" si="10"/>
        <v>2.309864792741505</v>
      </c>
      <c r="U37" s="59"/>
      <c r="V37" s="42"/>
      <c r="W37" s="25"/>
      <c r="X37" s="25"/>
      <c r="Y37" s="42"/>
      <c r="Z37" s="25"/>
      <c r="AA37" s="54"/>
    </row>
    <row r="38" spans="1:27" ht="12.75" thickBot="1">
      <c r="A38" s="16"/>
      <c r="B38" s="21"/>
      <c r="C38" s="21">
        <v>37</v>
      </c>
      <c r="D38" s="22">
        <v>1757.8436999999999</v>
      </c>
      <c r="E38" s="23">
        <v>33.498199999999997</v>
      </c>
      <c r="F38" s="23">
        <v>37.755000000000003</v>
      </c>
      <c r="G38" s="23">
        <v>39.442</v>
      </c>
      <c r="H38" s="23">
        <v>14529.359</v>
      </c>
      <c r="I38" s="23">
        <v>50.965000000000003</v>
      </c>
      <c r="J38" s="24">
        <f t="shared" si="7"/>
        <v>4.0359330555555557</v>
      </c>
      <c r="L38" s="22">
        <v>1744.1627000000001</v>
      </c>
      <c r="M38" s="23">
        <v>33.571899999999999</v>
      </c>
      <c r="N38" s="23">
        <v>37.755000000000003</v>
      </c>
      <c r="O38" s="23">
        <v>39.444499999999998</v>
      </c>
      <c r="P38" s="23">
        <v>35162.928999999996</v>
      </c>
      <c r="Q38" s="23">
        <v>23.273</v>
      </c>
      <c r="R38" s="24">
        <f t="shared" si="8"/>
        <v>9.7674802777777767</v>
      </c>
      <c r="S38" s="18">
        <f t="shared" si="9"/>
        <v>2.4201294083242071</v>
      </c>
      <c r="T38" s="18">
        <f t="shared" si="10"/>
        <v>0.45664671833611298</v>
      </c>
      <c r="U38" s="59"/>
      <c r="V38" s="43"/>
      <c r="W38" s="55"/>
      <c r="X38" s="55"/>
      <c r="Y38" s="43"/>
      <c r="Z38" s="55"/>
      <c r="AA38" s="56"/>
    </row>
    <row r="39" spans="1:27">
      <c r="A39" s="16"/>
      <c r="B39" s="11" t="s">
        <v>3</v>
      </c>
      <c r="C39" s="11">
        <v>22</v>
      </c>
      <c r="D39" s="12">
        <v>8545.6254000000008</v>
      </c>
      <c r="E39" s="13">
        <v>41.301200000000001</v>
      </c>
      <c r="F39" s="13">
        <v>44.740200000000002</v>
      </c>
      <c r="G39" s="13">
        <v>46.492100000000001</v>
      </c>
      <c r="H39" s="13">
        <v>24183.069</v>
      </c>
      <c r="I39" s="13">
        <v>16.98</v>
      </c>
      <c r="J39" s="14">
        <f t="shared" si="7"/>
        <v>6.7175191666666665</v>
      </c>
      <c r="L39" s="12">
        <v>8512.2062999999998</v>
      </c>
      <c r="M39" s="13">
        <v>41.350200000000001</v>
      </c>
      <c r="N39" s="13">
        <v>44.756500000000003</v>
      </c>
      <c r="O39" s="13">
        <v>46.523299999999999</v>
      </c>
      <c r="P39" s="13">
        <v>45854.949000000001</v>
      </c>
      <c r="Q39" s="13">
        <v>32.643000000000001</v>
      </c>
      <c r="R39" s="14">
        <f t="shared" si="8"/>
        <v>12.737485833333334</v>
      </c>
      <c r="S39" s="18">
        <f t="shared" si="9"/>
        <v>1.8961592095693065</v>
      </c>
      <c r="T39" s="18">
        <f t="shared" si="10"/>
        <v>1.9224381625441695</v>
      </c>
      <c r="U39" s="59"/>
      <c r="V39" s="41">
        <f>bdrate($D39:$D42,E39:E42,$L39:$L42,M39:M42)</f>
        <v>-2.620557508727106E-2</v>
      </c>
      <c r="W39" s="46">
        <f>bdrate($D39:$D42,F39:F42,$L39:$L42,N39:N42)</f>
        <v>-1.6384483929924309E-2</v>
      </c>
      <c r="X39" s="46">
        <f>bdrate($D39:$D42,G39:G42,$L39:$L42,O39:O42)</f>
        <v>-1.7018907442969411E-2</v>
      </c>
      <c r="Y39" s="44">
        <f>bdrateOld($D39:$D42,E39:E42,$L39:$L42,M39:M42)</f>
        <v>-2.6231694553738194E-2</v>
      </c>
      <c r="Z39" s="48">
        <f>bdrateOld($D39:$D42,F39:F42,$L39:$L42,N39:N42)</f>
        <v>-1.6263239393576656E-2</v>
      </c>
      <c r="AA39" s="49">
        <f>bdrateOld($D39:$D42,G39:G42,$L39:$L42,O39:O42)</f>
        <v>-1.7052469389978842E-2</v>
      </c>
    </row>
    <row r="40" spans="1:27">
      <c r="A40" s="16"/>
      <c r="B40" s="16"/>
      <c r="C40" s="16">
        <v>27</v>
      </c>
      <c r="D40" s="17">
        <v>3594.2269999999999</v>
      </c>
      <c r="E40" s="18">
        <v>38.881900000000002</v>
      </c>
      <c r="F40" s="18">
        <v>43.383699999999997</v>
      </c>
      <c r="G40" s="18">
        <v>44.513300000000001</v>
      </c>
      <c r="H40" s="18">
        <v>18889.306</v>
      </c>
      <c r="I40" s="18">
        <v>21.241</v>
      </c>
      <c r="J40" s="19">
        <f t="shared" si="7"/>
        <v>5.2470294444444443</v>
      </c>
      <c r="L40" s="17">
        <v>3563.2516000000001</v>
      </c>
      <c r="M40" s="18">
        <v>38.932299999999998</v>
      </c>
      <c r="N40" s="18">
        <v>43.398600000000002</v>
      </c>
      <c r="O40" s="18">
        <v>44.533499999999997</v>
      </c>
      <c r="P40" s="18">
        <v>41804.538999999997</v>
      </c>
      <c r="Q40" s="18">
        <v>18.425000000000001</v>
      </c>
      <c r="R40" s="19">
        <f t="shared" si="8"/>
        <v>11.612371944444444</v>
      </c>
      <c r="S40" s="18">
        <f t="shared" si="9"/>
        <v>2.2131326052952924</v>
      </c>
      <c r="T40" s="18">
        <f t="shared" si="10"/>
        <v>0.86742620403935788</v>
      </c>
      <c r="U40" s="59"/>
      <c r="V40" s="42"/>
      <c r="W40" s="25"/>
      <c r="X40" s="25"/>
      <c r="Y40" s="42"/>
      <c r="Z40" s="25"/>
      <c r="AA40" s="54"/>
    </row>
    <row r="41" spans="1:27">
      <c r="A41" s="16"/>
      <c r="B41" s="16"/>
      <c r="C41" s="16">
        <v>32</v>
      </c>
      <c r="D41" s="17">
        <v>1874.1959999999999</v>
      </c>
      <c r="E41" s="18">
        <v>37.180100000000003</v>
      </c>
      <c r="F41" s="18">
        <v>42.106699999999996</v>
      </c>
      <c r="G41" s="18">
        <v>42.7012</v>
      </c>
      <c r="H41" s="18">
        <v>18420.798999999999</v>
      </c>
      <c r="I41" s="18">
        <v>18.914999999999999</v>
      </c>
      <c r="J41" s="19">
        <f t="shared" si="7"/>
        <v>5.1168886111111105</v>
      </c>
      <c r="L41" s="17">
        <v>1849.2023999999999</v>
      </c>
      <c r="M41" s="18">
        <v>37.224299999999999</v>
      </c>
      <c r="N41" s="18">
        <v>42.114899999999999</v>
      </c>
      <c r="O41" s="18">
        <v>42.710700000000003</v>
      </c>
      <c r="P41" s="18">
        <v>33826.678999999996</v>
      </c>
      <c r="Q41" s="18">
        <v>77.248999999999995</v>
      </c>
      <c r="R41" s="19">
        <f t="shared" si="8"/>
        <v>9.3962997222222207</v>
      </c>
      <c r="S41" s="18">
        <f t="shared" si="9"/>
        <v>1.8363307150791883</v>
      </c>
      <c r="T41" s="18">
        <f t="shared" si="10"/>
        <v>4.0840074015331744</v>
      </c>
      <c r="U41" s="59"/>
      <c r="V41" s="42"/>
      <c r="W41" s="25"/>
      <c r="X41" s="25"/>
      <c r="Y41" s="42"/>
      <c r="Z41" s="25"/>
      <c r="AA41" s="54"/>
    </row>
    <row r="42" spans="1:27" ht="12.75" thickBot="1">
      <c r="A42" s="16"/>
      <c r="B42" s="21"/>
      <c r="C42" s="21">
        <v>37</v>
      </c>
      <c r="D42" s="22">
        <v>1043.2405000000001</v>
      </c>
      <c r="E42" s="23">
        <v>35.308</v>
      </c>
      <c r="F42" s="23">
        <v>41.048499999999997</v>
      </c>
      <c r="G42" s="23">
        <v>41.260399999999997</v>
      </c>
      <c r="H42" s="23">
        <v>17332.174999999999</v>
      </c>
      <c r="I42" s="23">
        <v>14.97</v>
      </c>
      <c r="J42" s="24">
        <f t="shared" si="7"/>
        <v>4.8144930555555554</v>
      </c>
      <c r="L42" s="22">
        <v>1027.9262000000001</v>
      </c>
      <c r="M42" s="23">
        <v>35.341299999999997</v>
      </c>
      <c r="N42" s="23">
        <v>41.043500000000002</v>
      </c>
      <c r="O42" s="23">
        <v>41.268099999999997</v>
      </c>
      <c r="P42" s="23">
        <v>33463.216999999997</v>
      </c>
      <c r="Q42" s="23">
        <v>43.427999999999997</v>
      </c>
      <c r="R42" s="24">
        <f t="shared" si="8"/>
        <v>9.295338055555554</v>
      </c>
      <c r="S42" s="18">
        <f t="shared" si="9"/>
        <v>1.9306992342276719</v>
      </c>
      <c r="T42" s="18">
        <f t="shared" si="10"/>
        <v>2.9010020040080158</v>
      </c>
      <c r="U42" s="59"/>
      <c r="V42" s="43"/>
      <c r="W42" s="55"/>
      <c r="X42" s="55"/>
      <c r="Y42" s="43"/>
      <c r="Z42" s="55"/>
      <c r="AA42" s="56"/>
    </row>
    <row r="43" spans="1:27">
      <c r="A43" s="16"/>
      <c r="B43" s="11" t="s">
        <v>4</v>
      </c>
      <c r="C43" s="11">
        <v>22</v>
      </c>
      <c r="D43" s="12">
        <v>22895.561600000001</v>
      </c>
      <c r="E43" s="13">
        <v>42.721499999999999</v>
      </c>
      <c r="F43" s="13">
        <v>42.864199999999997</v>
      </c>
      <c r="G43" s="13">
        <v>44.607100000000003</v>
      </c>
      <c r="H43" s="13">
        <v>25808.135999999999</v>
      </c>
      <c r="I43" s="13">
        <v>28.126999999999999</v>
      </c>
      <c r="J43" s="14">
        <f t="shared" si="7"/>
        <v>7.1689266666666667</v>
      </c>
      <c r="L43" s="12">
        <v>22800.641599999999</v>
      </c>
      <c r="M43" s="13">
        <v>42.737499999999997</v>
      </c>
      <c r="N43" s="13">
        <v>42.883299999999998</v>
      </c>
      <c r="O43" s="13">
        <v>44.627400000000002</v>
      </c>
      <c r="P43" s="13">
        <v>50423.794999999998</v>
      </c>
      <c r="Q43" s="13">
        <v>37.118000000000002</v>
      </c>
      <c r="R43" s="14">
        <f t="shared" si="8"/>
        <v>14.006609722222223</v>
      </c>
      <c r="S43" s="18">
        <f t="shared" si="9"/>
        <v>1.9537945320808912</v>
      </c>
      <c r="T43" s="18">
        <f t="shared" si="10"/>
        <v>1.3196572688164399</v>
      </c>
      <c r="U43" s="59"/>
      <c r="V43" s="41">
        <f>bdrate($D43:$D46,E43:E46,$L43:$L46,M43:M46)</f>
        <v>-1.7201690849229734E-2</v>
      </c>
      <c r="W43" s="46">
        <f>bdrate($D43:$D46,F43:F46,$L43:$L46,N43:N46)</f>
        <v>-1.5374055777340856E-2</v>
      </c>
      <c r="X43" s="46">
        <f>bdrate($D43:$D46,G43:G46,$L43:$L46,O43:O46)</f>
        <v>-1.7626385957947743E-2</v>
      </c>
      <c r="Y43" s="44">
        <f>bdrateOld($D43:$D46,E43:E46,$L43:$L46,M43:M46)</f>
        <v>-1.6561922407603902E-2</v>
      </c>
      <c r="Z43" s="48">
        <f>bdrateOld($D43:$D46,F43:F46,$L43:$L46,N43:N46)</f>
        <v>-1.5526829774955009E-2</v>
      </c>
      <c r="AA43" s="49">
        <f>bdrateOld($D43:$D46,G43:G46,$L43:$L46,O43:O46)</f>
        <v>-1.7529244620701379E-2</v>
      </c>
    </row>
    <row r="44" spans="1:27">
      <c r="A44" s="16"/>
      <c r="B44" s="16"/>
      <c r="C44" s="16">
        <v>27</v>
      </c>
      <c r="D44" s="17">
        <v>9946.4968000000008</v>
      </c>
      <c r="E44" s="18">
        <v>37.2044</v>
      </c>
      <c r="F44" s="18">
        <v>41.063099999999999</v>
      </c>
      <c r="G44" s="18">
        <v>43.19</v>
      </c>
      <c r="H44" s="18">
        <v>23000.541000000001</v>
      </c>
      <c r="I44" s="18">
        <v>29.283999999999999</v>
      </c>
      <c r="J44" s="19">
        <f t="shared" si="7"/>
        <v>6.3890391666666666</v>
      </c>
      <c r="L44" s="17">
        <v>9881.9503999999997</v>
      </c>
      <c r="M44" s="18">
        <v>37.2562</v>
      </c>
      <c r="N44" s="18">
        <v>41.088900000000002</v>
      </c>
      <c r="O44" s="18">
        <v>43.211799999999997</v>
      </c>
      <c r="P44" s="18">
        <v>48036.038</v>
      </c>
      <c r="Q44" s="18">
        <v>34.258000000000003</v>
      </c>
      <c r="R44" s="19">
        <f t="shared" si="8"/>
        <v>13.343343888888889</v>
      </c>
      <c r="S44" s="18">
        <f t="shared" si="9"/>
        <v>2.0884742667574643</v>
      </c>
      <c r="T44" s="18">
        <f t="shared" si="10"/>
        <v>1.1698538451031282</v>
      </c>
      <c r="U44" s="59"/>
      <c r="V44" s="42"/>
      <c r="W44" s="25"/>
      <c r="X44" s="25"/>
      <c r="Y44" s="42"/>
      <c r="Z44" s="25"/>
      <c r="AA44" s="54"/>
    </row>
    <row r="45" spans="1:27">
      <c r="A45" s="16"/>
      <c r="B45" s="16"/>
      <c r="C45" s="16">
        <v>32</v>
      </c>
      <c r="D45" s="17">
        <v>5056.1264000000001</v>
      </c>
      <c r="E45" s="18">
        <v>34.639899999999997</v>
      </c>
      <c r="F45" s="18">
        <v>39.651600000000002</v>
      </c>
      <c r="G45" s="18">
        <v>42.0105</v>
      </c>
      <c r="H45" s="18">
        <v>19142.468000000001</v>
      </c>
      <c r="I45" s="18">
        <v>27.634</v>
      </c>
      <c r="J45" s="19">
        <f t="shared" si="7"/>
        <v>5.3173522222222225</v>
      </c>
      <c r="L45" s="17">
        <v>5023.3280000000004</v>
      </c>
      <c r="M45" s="18">
        <v>34.715000000000003</v>
      </c>
      <c r="N45" s="18">
        <v>39.663899999999998</v>
      </c>
      <c r="O45" s="18">
        <v>42.028399999999998</v>
      </c>
      <c r="P45" s="18">
        <v>41391.250999999997</v>
      </c>
      <c r="Q45" s="18">
        <v>32.241</v>
      </c>
      <c r="R45" s="19">
        <f t="shared" si="8"/>
        <v>11.497569722222222</v>
      </c>
      <c r="S45" s="18">
        <f t="shared" si="9"/>
        <v>2.1622734853207013</v>
      </c>
      <c r="T45" s="18">
        <f t="shared" si="10"/>
        <v>1.1667149164073243</v>
      </c>
      <c r="U45" s="59"/>
      <c r="V45" s="42"/>
      <c r="W45" s="25"/>
      <c r="X45" s="25"/>
      <c r="Y45" s="42"/>
      <c r="Z45" s="25"/>
      <c r="AA45" s="54"/>
    </row>
    <row r="46" spans="1:27" ht="12.75" thickBot="1">
      <c r="A46" s="21"/>
      <c r="B46" s="21"/>
      <c r="C46" s="21">
        <v>37</v>
      </c>
      <c r="D46" s="22">
        <v>2702.3431999999998</v>
      </c>
      <c r="E46" s="23">
        <v>32.245899999999999</v>
      </c>
      <c r="F46" s="23">
        <v>38.639299999999999</v>
      </c>
      <c r="G46" s="23">
        <v>41.133000000000003</v>
      </c>
      <c r="H46" s="23">
        <v>16209.623</v>
      </c>
      <c r="I46" s="23">
        <v>44.906999999999996</v>
      </c>
      <c r="J46" s="24">
        <f t="shared" si="7"/>
        <v>4.5026730555555554</v>
      </c>
      <c r="L46" s="22">
        <v>2691.8944000000001</v>
      </c>
      <c r="M46" s="23">
        <v>32.324599999999997</v>
      </c>
      <c r="N46" s="23">
        <v>38.650500000000001</v>
      </c>
      <c r="O46" s="23">
        <v>41.145699999999998</v>
      </c>
      <c r="P46" s="23">
        <v>38149.17</v>
      </c>
      <c r="Q46" s="23">
        <v>30.684000000000001</v>
      </c>
      <c r="R46" s="24">
        <f t="shared" si="8"/>
        <v>10.596991666666666</v>
      </c>
      <c r="S46" s="18">
        <f t="shared" si="9"/>
        <v>2.3534890354945333</v>
      </c>
      <c r="T46" s="18">
        <f t="shared" si="10"/>
        <v>0.68327877613735055</v>
      </c>
      <c r="U46" s="59"/>
      <c r="V46" s="43"/>
      <c r="W46" s="55"/>
      <c r="X46" s="55"/>
      <c r="Y46" s="43"/>
      <c r="Z46" s="55"/>
      <c r="AA46" s="56"/>
    </row>
    <row r="47" spans="1:27">
      <c r="A47" s="11" t="s">
        <v>5</v>
      </c>
      <c r="B47" s="11" t="s">
        <v>53</v>
      </c>
      <c r="C47" s="11">
        <v>22</v>
      </c>
      <c r="D47" s="12">
        <v>2594.0547999999999</v>
      </c>
      <c r="E47" s="13">
        <v>41.97</v>
      </c>
      <c r="F47" s="13">
        <v>44.186100000000003</v>
      </c>
      <c r="G47" s="13">
        <v>44.857900000000001</v>
      </c>
      <c r="H47" s="13">
        <v>2910.3429999999998</v>
      </c>
      <c r="I47" s="13">
        <v>4.7089999999999996</v>
      </c>
      <c r="J47" s="14">
        <f>H47/3600</f>
        <v>0.80842861111111108</v>
      </c>
      <c r="L47" s="12">
        <v>2573.7332999999999</v>
      </c>
      <c r="M47" s="13">
        <v>42.057699999999997</v>
      </c>
      <c r="N47" s="13">
        <v>44.1999</v>
      </c>
      <c r="O47" s="13">
        <v>44.883899999999997</v>
      </c>
      <c r="P47" s="13">
        <v>6227.8320000000003</v>
      </c>
      <c r="Q47" s="13">
        <v>4.907</v>
      </c>
      <c r="R47" s="14">
        <f>P47/3600</f>
        <v>1.7299533333333335</v>
      </c>
      <c r="S47" s="13">
        <f>P47/H47</f>
        <v>2.139896225290284</v>
      </c>
      <c r="T47" s="13">
        <f>Q47/I47</f>
        <v>1.0420471437672543</v>
      </c>
      <c r="U47" s="58"/>
      <c r="V47" s="41">
        <f>bdrate($D47:$D50,E47:E50,$L47:$L50,M47:M50)</f>
        <v>-2.101071062984039E-2</v>
      </c>
      <c r="W47" s="46">
        <f>bdrate($D47:$D50,F47:F50,$L47:$L50,N47:N50)</f>
        <v>-1.112289639190811E-2</v>
      </c>
      <c r="X47" s="47">
        <f>bdrate($D47:$D50,G47:G50,$L47:$L50,O47:O50)</f>
        <v>-1.6280015975974171E-2</v>
      </c>
      <c r="Y47" s="41">
        <f>bdrateOld($D47:$D50,E47:E50,$L47:$L50,M47:M50)</f>
        <v>-2.1062510041931493E-2</v>
      </c>
      <c r="Z47" s="46">
        <f>bdrateOld($D47:$D50,F47:F50,$L47:$L50,N47:N50)</f>
        <v>-1.0928958067492722E-2</v>
      </c>
      <c r="AA47" s="47">
        <f>bdrateOld($D47:$D50,G47:G50,$L47:$L50,O47:O50)</f>
        <v>-1.5928080666667066E-2</v>
      </c>
    </row>
    <row r="48" spans="1:27">
      <c r="A48" s="16" t="s">
        <v>48</v>
      </c>
      <c r="B48" s="16"/>
      <c r="C48" s="16">
        <v>27</v>
      </c>
      <c r="D48" s="17">
        <v>1401.8468</v>
      </c>
      <c r="E48" s="18">
        <v>38.544800000000002</v>
      </c>
      <c r="F48" s="18">
        <v>41.518300000000004</v>
      </c>
      <c r="G48" s="18">
        <v>41.801600000000001</v>
      </c>
      <c r="H48" s="18">
        <v>2501.0909999999999</v>
      </c>
      <c r="I48" s="18">
        <v>3.2160000000000002</v>
      </c>
      <c r="J48" s="19">
        <f t="shared" ref="J48:J62" si="11">H48/3600</f>
        <v>0.69474749999999996</v>
      </c>
      <c r="L48" s="17">
        <v>1390.3802000000001</v>
      </c>
      <c r="M48" s="18">
        <v>38.619399999999999</v>
      </c>
      <c r="N48" s="18">
        <v>41.535800000000002</v>
      </c>
      <c r="O48" s="18">
        <v>41.834000000000003</v>
      </c>
      <c r="P48" s="18">
        <v>5238.7449999999999</v>
      </c>
      <c r="Q48" s="18">
        <v>3.528</v>
      </c>
      <c r="R48" s="19">
        <f t="shared" ref="R48:R62" si="12">P48/3600</f>
        <v>1.4552069444444444</v>
      </c>
      <c r="S48" s="18">
        <f t="shared" ref="S48:S62" si="13">P48/H48</f>
        <v>2.0945839235757515</v>
      </c>
      <c r="T48" s="18">
        <f t="shared" ref="T48:T62" si="14">Q48/I48</f>
        <v>1.0970149253731343</v>
      </c>
      <c r="U48" s="59"/>
      <c r="V48" s="42"/>
      <c r="W48" s="25"/>
      <c r="X48" s="54"/>
      <c r="Y48" s="42"/>
      <c r="Z48" s="25"/>
      <c r="AA48" s="54"/>
    </row>
    <row r="49" spans="1:27">
      <c r="A49" s="16"/>
      <c r="B49" s="16"/>
      <c r="C49" s="16">
        <v>32</v>
      </c>
      <c r="D49" s="17">
        <v>745.86429999999996</v>
      </c>
      <c r="E49" s="18">
        <v>35.587499999999999</v>
      </c>
      <c r="F49" s="18">
        <v>39.4009</v>
      </c>
      <c r="G49" s="18">
        <v>39.436799999999998</v>
      </c>
      <c r="H49" s="18">
        <v>2010.598</v>
      </c>
      <c r="I49" s="18">
        <v>2.4550000000000001</v>
      </c>
      <c r="J49" s="19">
        <f t="shared" si="11"/>
        <v>0.55849944444444444</v>
      </c>
      <c r="L49" s="17">
        <v>740.64760000000001</v>
      </c>
      <c r="M49" s="18">
        <v>35.645499999999998</v>
      </c>
      <c r="N49" s="18">
        <v>39.414499999999997</v>
      </c>
      <c r="O49" s="18">
        <v>39.479399999999998</v>
      </c>
      <c r="P49" s="18">
        <v>4102.0069999999996</v>
      </c>
      <c r="Q49" s="18">
        <v>2.7869999999999999</v>
      </c>
      <c r="R49" s="19">
        <f t="shared" si="12"/>
        <v>1.1394463888888888</v>
      </c>
      <c r="S49" s="18">
        <f t="shared" si="13"/>
        <v>2.0401925198373814</v>
      </c>
      <c r="T49" s="18">
        <f t="shared" si="14"/>
        <v>1.135234215885947</v>
      </c>
      <c r="U49" s="59"/>
      <c r="V49" s="42"/>
      <c r="W49" s="25"/>
      <c r="X49" s="54"/>
      <c r="Y49" s="42"/>
      <c r="Z49" s="25"/>
      <c r="AA49" s="54"/>
    </row>
    <row r="50" spans="1:27" ht="12.75" thickBot="1">
      <c r="A50" s="16"/>
      <c r="B50" s="21"/>
      <c r="C50" s="21">
        <v>37</v>
      </c>
      <c r="D50" s="22">
        <v>408.4357</v>
      </c>
      <c r="E50" s="23">
        <v>32.961500000000001</v>
      </c>
      <c r="F50" s="23">
        <v>37.799999999999997</v>
      </c>
      <c r="G50" s="23">
        <v>37.698900000000002</v>
      </c>
      <c r="H50" s="23">
        <v>1533.7470000000001</v>
      </c>
      <c r="I50" s="23">
        <v>2.242</v>
      </c>
      <c r="J50" s="24">
        <f t="shared" si="11"/>
        <v>0.42604083333333337</v>
      </c>
      <c r="L50" s="22">
        <v>405.25630000000001</v>
      </c>
      <c r="M50" s="23">
        <v>33.002600000000001</v>
      </c>
      <c r="N50" s="23">
        <v>37.786700000000003</v>
      </c>
      <c r="O50" s="23">
        <v>37.717399999999998</v>
      </c>
      <c r="P50" s="23">
        <v>3243.6849999999999</v>
      </c>
      <c r="Q50" s="23">
        <v>2.38</v>
      </c>
      <c r="R50" s="24">
        <f t="shared" si="12"/>
        <v>0.90102361111111107</v>
      </c>
      <c r="S50" s="18">
        <f t="shared" si="13"/>
        <v>2.1148761823169009</v>
      </c>
      <c r="T50" s="18">
        <f t="shared" si="14"/>
        <v>1.0615521855486172</v>
      </c>
      <c r="U50" s="59"/>
      <c r="V50" s="43"/>
      <c r="W50" s="55"/>
      <c r="X50" s="56"/>
      <c r="Y50" s="43"/>
      <c r="Z50" s="55"/>
      <c r="AA50" s="56"/>
    </row>
    <row r="51" spans="1:27">
      <c r="A51" s="16"/>
      <c r="B51" s="11" t="s">
        <v>37</v>
      </c>
      <c r="C51" s="11">
        <v>22</v>
      </c>
      <c r="D51" s="12">
        <v>2919.8447999999999</v>
      </c>
      <c r="E51" s="13">
        <v>42.127800000000001</v>
      </c>
      <c r="F51" s="13">
        <v>44.525399999999998</v>
      </c>
      <c r="G51" s="13">
        <v>46.023000000000003</v>
      </c>
      <c r="H51" s="13">
        <v>3267.4160000000002</v>
      </c>
      <c r="I51" s="13">
        <v>4.5279999999999996</v>
      </c>
      <c r="J51" s="14">
        <f t="shared" si="11"/>
        <v>0.90761555555555562</v>
      </c>
      <c r="L51" s="12">
        <v>2893.0672</v>
      </c>
      <c r="M51" s="13">
        <v>42.210599999999999</v>
      </c>
      <c r="N51" s="13">
        <v>44.534100000000002</v>
      </c>
      <c r="O51" s="13">
        <v>46.040999999999997</v>
      </c>
      <c r="P51" s="13">
        <v>6934.0330000000004</v>
      </c>
      <c r="Q51" s="13">
        <v>4.891</v>
      </c>
      <c r="R51" s="14">
        <f t="shared" si="12"/>
        <v>1.9261202777777779</v>
      </c>
      <c r="S51" s="18">
        <f t="shared" si="13"/>
        <v>2.1221763619936977</v>
      </c>
      <c r="T51" s="18">
        <f t="shared" si="14"/>
        <v>1.0801678445229683</v>
      </c>
      <c r="U51" s="59"/>
      <c r="V51" s="41">
        <f>bdrate($D51:$D54,E51:E54,$L51:$L54,M51:M54)</f>
        <v>-2.4991734393295495E-2</v>
      </c>
      <c r="W51" s="46">
        <f>bdrate($D51:$D54,F51:F54,$L51:$L54,N51:N54)</f>
        <v>-1.4730140561582616E-2</v>
      </c>
      <c r="X51" s="46">
        <f>bdrate($D51:$D54,G51:G54,$L51:$L54,O51:O54)</f>
        <v>-1.4728973859929662E-2</v>
      </c>
      <c r="Y51" s="44">
        <f>bdrateOld($D51:$D54,E51:E54,$L51:$L54,M51:M54)</f>
        <v>-2.4982903829903425E-2</v>
      </c>
      <c r="Z51" s="48">
        <f>bdrateOld($D51:$D54,F51:F54,$L51:$L54,N51:N54)</f>
        <v>-1.488604556807327E-2</v>
      </c>
      <c r="AA51" s="49">
        <f>bdrateOld($D51:$D54,G51:G54,$L51:$L54,O51:O54)</f>
        <v>-1.4531694535420803E-2</v>
      </c>
    </row>
    <row r="52" spans="1:27">
      <c r="A52" s="16"/>
      <c r="B52" s="16"/>
      <c r="C52" s="16">
        <v>27</v>
      </c>
      <c r="D52" s="17">
        <v>1749.6768</v>
      </c>
      <c r="E52" s="18">
        <v>39.270099999999999</v>
      </c>
      <c r="F52" s="18">
        <v>42.174300000000002</v>
      </c>
      <c r="G52" s="18">
        <v>43.388100000000001</v>
      </c>
      <c r="H52" s="18">
        <v>2796.21</v>
      </c>
      <c r="I52" s="18">
        <v>3.8759999999999999</v>
      </c>
      <c r="J52" s="19">
        <f t="shared" si="11"/>
        <v>0.776725</v>
      </c>
      <c r="L52" s="17">
        <v>1731.4736</v>
      </c>
      <c r="M52" s="18">
        <v>39.358199999999997</v>
      </c>
      <c r="N52" s="18">
        <v>42.1967</v>
      </c>
      <c r="O52" s="18">
        <v>43.4086</v>
      </c>
      <c r="P52" s="18">
        <v>5889.3620000000001</v>
      </c>
      <c r="Q52" s="18">
        <v>4.1470000000000002</v>
      </c>
      <c r="R52" s="19">
        <f t="shared" si="12"/>
        <v>1.635933888888889</v>
      </c>
      <c r="S52" s="18">
        <f t="shared" si="13"/>
        <v>2.1061944560673198</v>
      </c>
      <c r="T52" s="18">
        <f t="shared" si="14"/>
        <v>1.0699174406604748</v>
      </c>
      <c r="U52" s="59"/>
      <c r="V52" s="42"/>
      <c r="W52" s="25"/>
      <c r="X52" s="25"/>
      <c r="Y52" s="42"/>
      <c r="Z52" s="25"/>
      <c r="AA52" s="54"/>
    </row>
    <row r="53" spans="1:27">
      <c r="A53" s="16"/>
      <c r="B53" s="16"/>
      <c r="C53" s="16">
        <v>32</v>
      </c>
      <c r="D53" s="17">
        <v>1021.5504</v>
      </c>
      <c r="E53" s="18">
        <v>36.256</v>
      </c>
      <c r="F53" s="18">
        <v>40.303899999999999</v>
      </c>
      <c r="G53" s="18">
        <v>41.293500000000002</v>
      </c>
      <c r="H53" s="18">
        <v>2362.6529999999998</v>
      </c>
      <c r="I53" s="18">
        <v>2.7370000000000001</v>
      </c>
      <c r="J53" s="19">
        <f t="shared" si="11"/>
        <v>0.65629249999999995</v>
      </c>
      <c r="L53" s="17">
        <v>1011.2744</v>
      </c>
      <c r="M53" s="18">
        <v>36.341500000000003</v>
      </c>
      <c r="N53" s="18">
        <v>40.316299999999998</v>
      </c>
      <c r="O53" s="18">
        <v>41.313899999999997</v>
      </c>
      <c r="P53" s="18">
        <v>4843.9229999999998</v>
      </c>
      <c r="Q53" s="18">
        <v>3.3260000000000001</v>
      </c>
      <c r="R53" s="19">
        <f t="shared" si="12"/>
        <v>1.3455341666666667</v>
      </c>
      <c r="S53" s="18">
        <f t="shared" si="13"/>
        <v>2.0502050025966572</v>
      </c>
      <c r="T53" s="18">
        <f t="shared" si="14"/>
        <v>1.2151991231275119</v>
      </c>
      <c r="U53" s="59"/>
      <c r="V53" s="42"/>
      <c r="W53" s="25"/>
      <c r="X53" s="25"/>
      <c r="Y53" s="42"/>
      <c r="Z53" s="25"/>
      <c r="AA53" s="54"/>
    </row>
    <row r="54" spans="1:27" ht="12.75" thickBot="1">
      <c r="A54" s="16"/>
      <c r="B54" s="21"/>
      <c r="C54" s="21">
        <v>37</v>
      </c>
      <c r="D54" s="22">
        <v>576.47919999999999</v>
      </c>
      <c r="E54" s="23">
        <v>33.2346</v>
      </c>
      <c r="F54" s="23">
        <v>38.921799999999998</v>
      </c>
      <c r="G54" s="23">
        <v>39.810299999999998</v>
      </c>
      <c r="H54" s="23">
        <v>2004.1020000000001</v>
      </c>
      <c r="I54" s="23">
        <v>2.3279999999999998</v>
      </c>
      <c r="J54" s="24">
        <f t="shared" si="11"/>
        <v>0.55669500000000005</v>
      </c>
      <c r="L54" s="22">
        <v>572.03840000000002</v>
      </c>
      <c r="M54" s="23">
        <v>33.310699999999997</v>
      </c>
      <c r="N54" s="23">
        <v>38.941299999999998</v>
      </c>
      <c r="O54" s="23">
        <v>39.821300000000001</v>
      </c>
      <c r="P54" s="23">
        <v>4086.047</v>
      </c>
      <c r="Q54" s="23">
        <v>3.286</v>
      </c>
      <c r="R54" s="24">
        <f t="shared" si="12"/>
        <v>1.1350130555555555</v>
      </c>
      <c r="S54" s="18">
        <f t="shared" si="13"/>
        <v>2.0388418353956035</v>
      </c>
      <c r="T54" s="18">
        <f t="shared" si="14"/>
        <v>1.411512027491409</v>
      </c>
      <c r="U54" s="59"/>
      <c r="V54" s="43"/>
      <c r="W54" s="55"/>
      <c r="X54" s="55"/>
      <c r="Y54" s="43"/>
      <c r="Z54" s="55"/>
      <c r="AA54" s="56"/>
    </row>
    <row r="55" spans="1:27">
      <c r="A55" s="16"/>
      <c r="B55" s="11" t="s">
        <v>54</v>
      </c>
      <c r="C55" s="11">
        <v>22</v>
      </c>
      <c r="D55" s="12">
        <v>5562.0285999999996</v>
      </c>
      <c r="E55" s="13">
        <v>41.272799999999997</v>
      </c>
      <c r="F55" s="13">
        <v>43.091900000000003</v>
      </c>
      <c r="G55" s="13">
        <v>44.022399999999998</v>
      </c>
      <c r="H55" s="13">
        <v>3477.9740000000002</v>
      </c>
      <c r="I55" s="13">
        <v>6.0190000000000001</v>
      </c>
      <c r="J55" s="14">
        <f t="shared" si="11"/>
        <v>0.96610388888888898</v>
      </c>
      <c r="L55" s="12">
        <v>5546.9659000000001</v>
      </c>
      <c r="M55" s="13">
        <v>41.405099999999997</v>
      </c>
      <c r="N55" s="13">
        <v>43.114600000000003</v>
      </c>
      <c r="O55" s="13">
        <v>44.047699999999999</v>
      </c>
      <c r="P55" s="13">
        <v>7358.6559999999999</v>
      </c>
      <c r="Q55" s="13">
        <v>6.2119999999999997</v>
      </c>
      <c r="R55" s="14">
        <f t="shared" si="12"/>
        <v>2.0440711111111112</v>
      </c>
      <c r="S55" s="18">
        <f t="shared" si="13"/>
        <v>2.1157880996235163</v>
      </c>
      <c r="T55" s="18">
        <f t="shared" si="14"/>
        <v>1.0320651270975245</v>
      </c>
      <c r="U55" s="59"/>
      <c r="V55" s="41">
        <f>bdrate($D55:$D58,E55:E58,$L55:$L58,M55:M58)</f>
        <v>-1.6026623306810817E-2</v>
      </c>
      <c r="W55" s="46">
        <f>bdrate($D55:$D58,F55:F58,$L55:$L58,N55:N58)</f>
        <v>-7.3742257742727135E-3</v>
      </c>
      <c r="X55" s="46">
        <f>bdrate($D55:$D58,G55:G58,$L55:$L58,O55:O58)</f>
        <v>-8.4858421769936632E-3</v>
      </c>
      <c r="Y55" s="44">
        <f>bdrateOld($D55:$D58,E55:E58,$L55:$L58,M55:M58)</f>
        <v>-1.6014391518058169E-2</v>
      </c>
      <c r="Z55" s="48">
        <f>bdrateOld($D55:$D58,F55:F58,$L55:$L58,N55:N58)</f>
        <v>-6.9347990969882423E-3</v>
      </c>
      <c r="AA55" s="49">
        <f>bdrateOld($D55:$D58,G55:G58,$L55:$L58,O55:O58)</f>
        <v>-8.1296215867580068E-3</v>
      </c>
    </row>
    <row r="56" spans="1:27">
      <c r="A56" s="16"/>
      <c r="B56" s="16"/>
      <c r="C56" s="16">
        <v>27</v>
      </c>
      <c r="D56" s="17">
        <v>3458.2372999999998</v>
      </c>
      <c r="E56" s="18">
        <v>37.034300000000002</v>
      </c>
      <c r="F56" s="18">
        <v>39.8446</v>
      </c>
      <c r="G56" s="18">
        <v>40.639499999999998</v>
      </c>
      <c r="H56" s="18">
        <v>2935.77</v>
      </c>
      <c r="I56" s="18">
        <v>4.8010000000000002</v>
      </c>
      <c r="J56" s="19">
        <f t="shared" si="11"/>
        <v>0.81549166666666661</v>
      </c>
      <c r="L56" s="17">
        <v>3447.9270000000001</v>
      </c>
      <c r="M56" s="18">
        <v>37.144100000000002</v>
      </c>
      <c r="N56" s="18">
        <v>39.861899999999999</v>
      </c>
      <c r="O56" s="18">
        <v>40.673699999999997</v>
      </c>
      <c r="P56" s="18">
        <v>6262.4530000000004</v>
      </c>
      <c r="Q56" s="18">
        <v>4.7640000000000002</v>
      </c>
      <c r="R56" s="19">
        <f t="shared" si="12"/>
        <v>1.739570277777778</v>
      </c>
      <c r="S56" s="18">
        <f t="shared" si="13"/>
        <v>2.1331551858626527</v>
      </c>
      <c r="T56" s="18">
        <f t="shared" si="14"/>
        <v>0.99229327223495112</v>
      </c>
      <c r="U56" s="59"/>
      <c r="V56" s="42"/>
      <c r="W56" s="25"/>
      <c r="X56" s="25"/>
      <c r="Y56" s="42"/>
      <c r="Z56" s="25"/>
      <c r="AA56" s="54"/>
    </row>
    <row r="57" spans="1:27">
      <c r="A57" s="16"/>
      <c r="B57" s="16"/>
      <c r="C57" s="16">
        <v>32</v>
      </c>
      <c r="D57" s="17">
        <v>2054.4746</v>
      </c>
      <c r="E57" s="18">
        <v>33.259700000000002</v>
      </c>
      <c r="F57" s="18">
        <v>37.538600000000002</v>
      </c>
      <c r="G57" s="18">
        <v>38.202100000000002</v>
      </c>
      <c r="H57" s="18">
        <v>2523.453</v>
      </c>
      <c r="I57" s="18">
        <v>3.516</v>
      </c>
      <c r="J57" s="19">
        <f t="shared" si="11"/>
        <v>0.70095916666666669</v>
      </c>
      <c r="L57" s="17">
        <v>2050.277</v>
      </c>
      <c r="M57" s="18">
        <v>33.353999999999999</v>
      </c>
      <c r="N57" s="18">
        <v>37.567100000000003</v>
      </c>
      <c r="O57" s="18">
        <v>38.228900000000003</v>
      </c>
      <c r="P57" s="18">
        <v>5322.0439999999999</v>
      </c>
      <c r="Q57" s="18">
        <v>3.8050000000000002</v>
      </c>
      <c r="R57" s="19">
        <f t="shared" si="12"/>
        <v>1.4783455555555556</v>
      </c>
      <c r="S57" s="18">
        <f t="shared" si="13"/>
        <v>2.1090323457579752</v>
      </c>
      <c r="T57" s="18">
        <f t="shared" si="14"/>
        <v>1.0821956769055745</v>
      </c>
      <c r="U57" s="59"/>
      <c r="V57" s="42"/>
      <c r="W57" s="25"/>
      <c r="X57" s="25"/>
      <c r="Y57" s="42"/>
      <c r="Z57" s="25"/>
      <c r="AA57" s="54"/>
    </row>
    <row r="58" spans="1:27" ht="12.75" thickBot="1">
      <c r="A58" s="16"/>
      <c r="B58" s="21"/>
      <c r="C58" s="21">
        <v>37</v>
      </c>
      <c r="D58" s="22">
        <v>1100.4421</v>
      </c>
      <c r="E58" s="23">
        <v>29.602599999999999</v>
      </c>
      <c r="F58" s="23">
        <v>35.978000000000002</v>
      </c>
      <c r="G58" s="23">
        <v>36.6113</v>
      </c>
      <c r="H58" s="23">
        <v>2229.5920000000001</v>
      </c>
      <c r="I58" s="23">
        <v>3.19</v>
      </c>
      <c r="J58" s="24">
        <f t="shared" si="11"/>
        <v>0.61933111111111117</v>
      </c>
      <c r="L58" s="22">
        <v>1100.681</v>
      </c>
      <c r="M58" s="23">
        <v>29.677</v>
      </c>
      <c r="N58" s="23">
        <v>35.995699999999999</v>
      </c>
      <c r="O58" s="23">
        <v>36.627400000000002</v>
      </c>
      <c r="P58" s="23">
        <v>4619.1530000000002</v>
      </c>
      <c r="Q58" s="23">
        <v>3.012</v>
      </c>
      <c r="R58" s="24">
        <f t="shared" si="12"/>
        <v>1.2830980555555556</v>
      </c>
      <c r="S58" s="18">
        <f t="shared" si="13"/>
        <v>2.0717481045859514</v>
      </c>
      <c r="T58" s="18">
        <f t="shared" si="14"/>
        <v>0.94420062695924767</v>
      </c>
      <c r="U58" s="59"/>
      <c r="V58" s="43"/>
      <c r="W58" s="55"/>
      <c r="X58" s="55"/>
      <c r="Y58" s="43"/>
      <c r="Z58" s="55"/>
      <c r="AA58" s="56"/>
    </row>
    <row r="59" spans="1:27">
      <c r="A59" s="16"/>
      <c r="B59" s="11" t="s">
        <v>55</v>
      </c>
      <c r="C59" s="11">
        <v>22</v>
      </c>
      <c r="D59" s="12">
        <v>1893.6560999999999</v>
      </c>
      <c r="E59" s="13">
        <v>42.489100000000001</v>
      </c>
      <c r="F59" s="13">
        <v>43.763500000000001</v>
      </c>
      <c r="G59" s="13">
        <v>44.600700000000003</v>
      </c>
      <c r="H59" s="13">
        <v>1629.328</v>
      </c>
      <c r="I59" s="13">
        <v>2.2949999999999999</v>
      </c>
      <c r="J59" s="14">
        <f t="shared" si="11"/>
        <v>0.45259111111111111</v>
      </c>
      <c r="L59" s="12">
        <v>1884.1878999999999</v>
      </c>
      <c r="M59" s="13">
        <v>42.600499999999997</v>
      </c>
      <c r="N59" s="13">
        <v>43.779400000000003</v>
      </c>
      <c r="O59" s="13">
        <v>44.621600000000001</v>
      </c>
      <c r="P59" s="13">
        <v>3478.52</v>
      </c>
      <c r="Q59" s="13">
        <v>2.847</v>
      </c>
      <c r="R59" s="14">
        <f t="shared" si="12"/>
        <v>0.96625555555555553</v>
      </c>
      <c r="S59" s="18">
        <f t="shared" si="13"/>
        <v>2.1349415219035088</v>
      </c>
      <c r="T59" s="18">
        <f t="shared" si="14"/>
        <v>1.2405228758169935</v>
      </c>
      <c r="U59" s="59"/>
      <c r="V59" s="41">
        <f>bdrate($D59:$D62,E59:E62,$L59:$L62,M59:M62)</f>
        <v>-2.2210030202982067E-2</v>
      </c>
      <c r="W59" s="46">
        <f>bdrate($D59:$D62,F59:F62,$L59:$L62,N59:N62)</f>
        <v>-7.400297777268694E-3</v>
      </c>
      <c r="X59" s="46">
        <f>bdrate($D59:$D62,G59:G62,$L59:$L62,O59:O62)</f>
        <v>-9.3701231509479843E-3</v>
      </c>
      <c r="Y59" s="44">
        <f>bdrateOld($D59:$D62,E59:E62,$L59:$L62,M59:M62)</f>
        <v>-2.2187383581145026E-2</v>
      </c>
      <c r="Z59" s="48">
        <f>bdrateOld($D59:$D62,F59:F62,$L59:$L62,N59:N62)</f>
        <v>-7.830826011108738E-3</v>
      </c>
      <c r="AA59" s="49">
        <f>bdrateOld($D59:$D62,G59:G62,$L59:$L62,O59:O62)</f>
        <v>-9.1120099487976836E-3</v>
      </c>
    </row>
    <row r="60" spans="1:27">
      <c r="A60" s="16"/>
      <c r="B60" s="16"/>
      <c r="C60" s="16">
        <v>27</v>
      </c>
      <c r="D60" s="17">
        <v>1136.0383999999999</v>
      </c>
      <c r="E60" s="18">
        <v>39.097700000000003</v>
      </c>
      <c r="F60" s="18">
        <v>40.3932</v>
      </c>
      <c r="G60" s="18">
        <v>41.811599999999999</v>
      </c>
      <c r="H60" s="18">
        <v>1436.019</v>
      </c>
      <c r="I60" s="18">
        <v>1.911</v>
      </c>
      <c r="J60" s="19">
        <f t="shared" si="11"/>
        <v>0.39889416666666666</v>
      </c>
      <c r="L60" s="17">
        <v>1130.8326</v>
      </c>
      <c r="M60" s="18">
        <v>39.215299999999999</v>
      </c>
      <c r="N60" s="18">
        <v>40.4114</v>
      </c>
      <c r="O60" s="18">
        <v>41.823399999999999</v>
      </c>
      <c r="P60" s="18">
        <v>3196.7</v>
      </c>
      <c r="Q60" s="18">
        <v>2.2360000000000002</v>
      </c>
      <c r="R60" s="19">
        <f t="shared" si="12"/>
        <v>0.88797222222222216</v>
      </c>
      <c r="S60" s="18">
        <f t="shared" si="13"/>
        <v>2.2260847523605189</v>
      </c>
      <c r="T60" s="18">
        <f t="shared" si="14"/>
        <v>1.1700680272108845</v>
      </c>
      <c r="U60" s="59"/>
      <c r="V60" s="42"/>
      <c r="W60" s="25"/>
      <c r="X60" s="25"/>
      <c r="Y60" s="42"/>
      <c r="Z60" s="25"/>
      <c r="AA60" s="54"/>
    </row>
    <row r="61" spans="1:27">
      <c r="A61" s="16"/>
      <c r="B61" s="16"/>
      <c r="C61" s="16">
        <v>32</v>
      </c>
      <c r="D61" s="17">
        <v>644.14660000000003</v>
      </c>
      <c r="E61" s="18">
        <v>35.692</v>
      </c>
      <c r="F61" s="18">
        <v>38.065800000000003</v>
      </c>
      <c r="G61" s="18">
        <v>39.892499999999998</v>
      </c>
      <c r="H61" s="18">
        <v>1283.4659999999999</v>
      </c>
      <c r="I61" s="18">
        <v>1.49</v>
      </c>
      <c r="J61" s="19">
        <f t="shared" si="11"/>
        <v>0.35651833333333333</v>
      </c>
      <c r="L61" s="17">
        <v>641.57759999999996</v>
      </c>
      <c r="M61" s="18">
        <v>35.796999999999997</v>
      </c>
      <c r="N61" s="18">
        <v>38.070099999999996</v>
      </c>
      <c r="O61" s="18">
        <v>39.9146</v>
      </c>
      <c r="P61" s="18">
        <v>2760.7750000000001</v>
      </c>
      <c r="Q61" s="18">
        <v>2.0019999999999998</v>
      </c>
      <c r="R61" s="19">
        <f t="shared" si="12"/>
        <v>0.76688194444444446</v>
      </c>
      <c r="S61" s="18">
        <f t="shared" si="13"/>
        <v>2.1510308804440479</v>
      </c>
      <c r="T61" s="18">
        <f t="shared" si="14"/>
        <v>1.3436241610738253</v>
      </c>
      <c r="U61" s="59"/>
      <c r="V61" s="42"/>
      <c r="W61" s="25"/>
      <c r="X61" s="25"/>
      <c r="Y61" s="42"/>
      <c r="Z61" s="25"/>
      <c r="AA61" s="54"/>
    </row>
    <row r="62" spans="1:27" ht="12.75" thickBot="1">
      <c r="A62" s="21"/>
      <c r="B62" s="21"/>
      <c r="C62" s="21">
        <v>37</v>
      </c>
      <c r="D62" s="22">
        <v>322.26080000000002</v>
      </c>
      <c r="E62" s="23">
        <v>32.303600000000003</v>
      </c>
      <c r="F62" s="23">
        <v>36.658900000000003</v>
      </c>
      <c r="G62" s="23">
        <v>38.505200000000002</v>
      </c>
      <c r="H62" s="23">
        <v>1117.2049999999999</v>
      </c>
      <c r="I62" s="23">
        <v>1.1850000000000001</v>
      </c>
      <c r="J62" s="24">
        <f t="shared" si="11"/>
        <v>0.31033472222222219</v>
      </c>
      <c r="L62" s="22">
        <v>322.62549999999999</v>
      </c>
      <c r="M62" s="23">
        <v>32.396599999999999</v>
      </c>
      <c r="N62" s="23">
        <v>36.677700000000002</v>
      </c>
      <c r="O62" s="23">
        <v>38.530799999999999</v>
      </c>
      <c r="P62" s="23">
        <v>2212.3130000000001</v>
      </c>
      <c r="Q62" s="23">
        <v>1.552</v>
      </c>
      <c r="R62" s="24">
        <f t="shared" si="12"/>
        <v>0.61453138888888892</v>
      </c>
      <c r="S62" s="23">
        <f t="shared" si="13"/>
        <v>1.9802211769549907</v>
      </c>
      <c r="T62" s="23">
        <f t="shared" si="14"/>
        <v>1.3097046413502109</v>
      </c>
      <c r="U62" s="60"/>
      <c r="V62" s="43"/>
      <c r="W62" s="55"/>
      <c r="X62" s="55"/>
      <c r="Y62" s="43"/>
      <c r="Z62" s="55"/>
      <c r="AA62" s="56"/>
    </row>
    <row r="63" spans="1:27">
      <c r="A63" s="11" t="s">
        <v>6</v>
      </c>
      <c r="B63" s="11" t="s">
        <v>56</v>
      </c>
      <c r="C63" s="11">
        <f>C59</f>
        <v>22</v>
      </c>
      <c r="D63" s="12">
        <v>661.90560000000005</v>
      </c>
      <c r="E63" s="13">
        <v>43.253599999999999</v>
      </c>
      <c r="F63" s="13">
        <v>45.804099999999998</v>
      </c>
      <c r="G63" s="13">
        <v>45.568399999999997</v>
      </c>
      <c r="H63" s="13">
        <v>669.83600000000001</v>
      </c>
      <c r="I63" s="13">
        <v>0.94299999999999995</v>
      </c>
      <c r="J63" s="14">
        <f>H63/3600</f>
        <v>0.18606555555555557</v>
      </c>
      <c r="L63" s="12">
        <v>656.43409999999994</v>
      </c>
      <c r="M63" s="13">
        <v>43.391399999999997</v>
      </c>
      <c r="N63" s="13">
        <v>45.818100000000001</v>
      </c>
      <c r="O63" s="13">
        <v>45.567900000000002</v>
      </c>
      <c r="P63" s="13">
        <v>1441.9870000000001</v>
      </c>
      <c r="Q63" s="13">
        <v>1.048</v>
      </c>
      <c r="R63" s="14">
        <f>P63/3600</f>
        <v>0.40055194444444447</v>
      </c>
      <c r="S63" s="13">
        <f>P63/H63</f>
        <v>2.1527463438811889</v>
      </c>
      <c r="T63" s="13">
        <f>Q63/I63</f>
        <v>1.1113467656415696</v>
      </c>
      <c r="U63" s="58"/>
      <c r="V63" s="41">
        <f>bdrate($D63:$D66,E63:E66,$L63:$L66,M63:M66)</f>
        <v>-2.3678973454663521E-2</v>
      </c>
      <c r="W63" s="46">
        <f>bdrate($D63:$D66,F63:F66,$L63:$L66,N63:N66)</f>
        <v>-7.9826033990150203E-3</v>
      </c>
      <c r="X63" s="47">
        <f>bdrate($D63:$D66,G63:G66,$L63:$L66,O63:O66)</f>
        <v>-9.639962058191176E-3</v>
      </c>
      <c r="Y63" s="41">
        <f>bdrateOld($D63:$D66,E63:E66,$L63:$L66,M63:M66)</f>
        <v>-2.368970093189926E-2</v>
      </c>
      <c r="Z63" s="46">
        <f>bdrateOld($D63:$D66,F63:F66,$L63:$L66,N63:N66)</f>
        <v>-7.9348490613890821E-3</v>
      </c>
      <c r="AA63" s="47">
        <f>bdrateOld($D63:$D66,G63:G66,$L63:$L66,O63:O66)</f>
        <v>-9.4740364201019167E-3</v>
      </c>
    </row>
    <row r="64" spans="1:27">
      <c r="A64" s="16" t="s">
        <v>49</v>
      </c>
      <c r="B64" s="16"/>
      <c r="C64" s="16">
        <f>C60</f>
        <v>27</v>
      </c>
      <c r="D64" s="17">
        <v>395.44130000000001</v>
      </c>
      <c r="E64" s="18">
        <v>39.633200000000002</v>
      </c>
      <c r="F64" s="18">
        <v>42.826900000000002</v>
      </c>
      <c r="G64" s="18">
        <v>42.364400000000003</v>
      </c>
      <c r="H64" s="18">
        <v>651.66099999999994</v>
      </c>
      <c r="I64" s="18">
        <v>0.77300000000000002</v>
      </c>
      <c r="J64" s="19">
        <f t="shared" ref="J64:J78" si="15">H64/3600</f>
        <v>0.18101694444444444</v>
      </c>
      <c r="L64" s="17">
        <v>392.83249999999998</v>
      </c>
      <c r="M64" s="18">
        <v>39.761000000000003</v>
      </c>
      <c r="N64" s="18">
        <v>42.845500000000001</v>
      </c>
      <c r="O64" s="18">
        <v>42.373100000000001</v>
      </c>
      <c r="P64" s="18">
        <v>1416.69</v>
      </c>
      <c r="Q64" s="18">
        <v>0.88500000000000001</v>
      </c>
      <c r="R64" s="19">
        <f t="shared" ref="R64:R78" si="16">P64/3600</f>
        <v>0.39352500000000001</v>
      </c>
      <c r="S64" s="18">
        <f t="shared" ref="S64:S78" si="17">P64/H64</f>
        <v>2.1739677531722785</v>
      </c>
      <c r="T64" s="18">
        <f t="shared" ref="T64:T78" si="18">Q64/I64</f>
        <v>1.1448900388098318</v>
      </c>
      <c r="U64" s="59"/>
      <c r="V64" s="42"/>
      <c r="W64" s="25"/>
      <c r="X64" s="54"/>
      <c r="Y64" s="42"/>
      <c r="Z64" s="25"/>
      <c r="AA64" s="54"/>
    </row>
    <row r="65" spans="1:27">
      <c r="A65" s="16"/>
      <c r="B65" s="16"/>
      <c r="C65" s="16">
        <f>C61</f>
        <v>32</v>
      </c>
      <c r="D65" s="17">
        <v>226.60560000000001</v>
      </c>
      <c r="E65" s="18">
        <v>36.261200000000002</v>
      </c>
      <c r="F65" s="18">
        <v>40.470799999999997</v>
      </c>
      <c r="G65" s="18">
        <v>39.797699999999999</v>
      </c>
      <c r="H65" s="18">
        <v>676.68899999999996</v>
      </c>
      <c r="I65" s="18">
        <v>0.64400000000000002</v>
      </c>
      <c r="J65" s="19">
        <f t="shared" si="15"/>
        <v>0.18796916666666666</v>
      </c>
      <c r="L65" s="17">
        <v>225.7167</v>
      </c>
      <c r="M65" s="18">
        <v>36.366900000000001</v>
      </c>
      <c r="N65" s="18">
        <v>40.476999999999997</v>
      </c>
      <c r="O65" s="18">
        <v>39.827399999999997</v>
      </c>
      <c r="P65" s="18">
        <v>1288.519</v>
      </c>
      <c r="Q65" s="18">
        <v>0.74399999999999999</v>
      </c>
      <c r="R65" s="19">
        <f t="shared" si="16"/>
        <v>0.35792194444444447</v>
      </c>
      <c r="S65" s="18">
        <f t="shared" si="17"/>
        <v>1.9041524245258901</v>
      </c>
      <c r="T65" s="18">
        <f t="shared" si="18"/>
        <v>1.15527950310559</v>
      </c>
      <c r="U65" s="59"/>
      <c r="V65" s="42"/>
      <c r="W65" s="25"/>
      <c r="X65" s="54"/>
      <c r="Y65" s="42"/>
      <c r="Z65" s="25"/>
      <c r="AA65" s="54"/>
    </row>
    <row r="66" spans="1:27" ht="12.75" thickBot="1">
      <c r="A66" s="16"/>
      <c r="B66" s="21"/>
      <c r="C66" s="21">
        <f>C62</f>
        <v>37</v>
      </c>
      <c r="D66" s="22">
        <v>126.0206</v>
      </c>
      <c r="E66" s="23">
        <v>33.151800000000001</v>
      </c>
      <c r="F66" s="23">
        <v>38.749200000000002</v>
      </c>
      <c r="G66" s="23">
        <v>37.950699999999998</v>
      </c>
      <c r="H66" s="23">
        <v>474.286</v>
      </c>
      <c r="I66" s="23">
        <v>0.51</v>
      </c>
      <c r="J66" s="24">
        <f t="shared" si="15"/>
        <v>0.13174611111111112</v>
      </c>
      <c r="L66" s="22">
        <v>125.75</v>
      </c>
      <c r="M66" s="23">
        <v>33.229999999999997</v>
      </c>
      <c r="N66" s="23">
        <v>38.740699999999997</v>
      </c>
      <c r="O66" s="23">
        <v>37.979500000000002</v>
      </c>
      <c r="P66" s="23">
        <v>957.73599999999999</v>
      </c>
      <c r="Q66" s="23">
        <v>0.628</v>
      </c>
      <c r="R66" s="24">
        <f t="shared" si="16"/>
        <v>0.26603777777777776</v>
      </c>
      <c r="S66" s="18">
        <f t="shared" si="17"/>
        <v>2.0193216751074248</v>
      </c>
      <c r="T66" s="18">
        <f t="shared" si="18"/>
        <v>1.2313725490196079</v>
      </c>
      <c r="U66" s="59"/>
      <c r="V66" s="43"/>
      <c r="W66" s="55"/>
      <c r="X66" s="56"/>
      <c r="Y66" s="43"/>
      <c r="Z66" s="55"/>
      <c r="AA66" s="56"/>
    </row>
    <row r="67" spans="1:27">
      <c r="A67" s="16"/>
      <c r="B67" s="11" t="s">
        <v>57</v>
      </c>
      <c r="C67" s="11">
        <v>22</v>
      </c>
      <c r="D67" s="12">
        <v>1650.2103999999999</v>
      </c>
      <c r="E67" s="13">
        <v>41.396900000000002</v>
      </c>
      <c r="F67" s="13">
        <v>43.853299999999997</v>
      </c>
      <c r="G67" s="13">
        <v>44.83</v>
      </c>
      <c r="H67" s="13">
        <v>946.14099999999996</v>
      </c>
      <c r="I67" s="13">
        <v>1.702</v>
      </c>
      <c r="J67" s="14">
        <f t="shared" si="15"/>
        <v>0.26281694444444442</v>
      </c>
      <c r="L67" s="12">
        <v>1648.644</v>
      </c>
      <c r="M67" s="13">
        <v>41.537399999999998</v>
      </c>
      <c r="N67" s="13">
        <v>43.859900000000003</v>
      </c>
      <c r="O67" s="13">
        <v>44.851399999999998</v>
      </c>
      <c r="P67" s="13">
        <v>1940.8989999999999</v>
      </c>
      <c r="Q67" s="13">
        <v>1.7709999999999999</v>
      </c>
      <c r="R67" s="14">
        <f t="shared" si="16"/>
        <v>0.53913861111111105</v>
      </c>
      <c r="S67" s="18">
        <f t="shared" si="17"/>
        <v>2.051384518797938</v>
      </c>
      <c r="T67" s="18">
        <f t="shared" si="18"/>
        <v>1.0405405405405406</v>
      </c>
      <c r="U67" s="59"/>
      <c r="V67" s="41">
        <f>bdrate($D67:$D70,E67:E70,$L67:$L70,M67:M70)</f>
        <v>-1.3828568023840582E-2</v>
      </c>
      <c r="W67" s="46">
        <f>bdrate($D67:$D70,F67:F70,$L67:$L70,N67:N70)</f>
        <v>-4.7484513463117439E-3</v>
      </c>
      <c r="X67" s="46">
        <f>bdrate($D67:$D70,G67:G70,$L67:$L70,O67:O70)</f>
        <v>-6.9910815781599744E-3</v>
      </c>
      <c r="Y67" s="44">
        <f>bdrateOld($D67:$D70,E67:E70,$L67:$L70,M67:M70)</f>
        <v>-1.3808552939127638E-2</v>
      </c>
      <c r="Z67" s="48">
        <f>bdrateOld($D67:$D70,F67:F70,$L67:$L70,N67:N70)</f>
        <v>-5.6222611106091502E-3</v>
      </c>
      <c r="AA67" s="49">
        <f>bdrateOld($D67:$D70,G67:G70,$L67:$L70,O67:O70)</f>
        <v>-6.8671682690386593E-3</v>
      </c>
    </row>
    <row r="68" spans="1:27">
      <c r="A68" s="16"/>
      <c r="B68" s="16"/>
      <c r="C68" s="16">
        <v>27</v>
      </c>
      <c r="D68" s="17">
        <v>1050.2464</v>
      </c>
      <c r="E68" s="18">
        <v>36.987900000000003</v>
      </c>
      <c r="F68" s="18">
        <v>41.022100000000002</v>
      </c>
      <c r="G68" s="18">
        <v>42.033200000000001</v>
      </c>
      <c r="H68" s="18">
        <v>822.33500000000004</v>
      </c>
      <c r="I68" s="18">
        <v>1.3560000000000001</v>
      </c>
      <c r="J68" s="19">
        <f t="shared" si="15"/>
        <v>0.22842638888888889</v>
      </c>
      <c r="L68" s="17">
        <v>1050.8055999999999</v>
      </c>
      <c r="M68" s="18">
        <v>37.109699999999997</v>
      </c>
      <c r="N68" s="18">
        <v>41.033900000000003</v>
      </c>
      <c r="O68" s="18">
        <v>42.055700000000002</v>
      </c>
      <c r="P68" s="18">
        <v>1948.2149999999999</v>
      </c>
      <c r="Q68" s="18">
        <v>1.4139999999999999</v>
      </c>
      <c r="R68" s="19">
        <f t="shared" si="16"/>
        <v>0.54117083333333327</v>
      </c>
      <c r="S68" s="18">
        <f t="shared" si="17"/>
        <v>2.3691257212693122</v>
      </c>
      <c r="T68" s="18">
        <f t="shared" si="18"/>
        <v>1.042772861356932</v>
      </c>
      <c r="U68" s="59"/>
      <c r="V68" s="42"/>
      <c r="W68" s="25"/>
      <c r="X68" s="25"/>
      <c r="Y68" s="42"/>
      <c r="Z68" s="25"/>
      <c r="AA68" s="54"/>
    </row>
    <row r="69" spans="1:27">
      <c r="A69" s="16"/>
      <c r="B69" s="16"/>
      <c r="C69" s="16">
        <v>32</v>
      </c>
      <c r="D69" s="17">
        <v>646.40160000000003</v>
      </c>
      <c r="E69" s="18">
        <v>33.2029</v>
      </c>
      <c r="F69" s="18">
        <v>39.125300000000003</v>
      </c>
      <c r="G69" s="18">
        <v>40.062399999999997</v>
      </c>
      <c r="H69" s="18">
        <v>704.053</v>
      </c>
      <c r="I69" s="18">
        <v>1.115</v>
      </c>
      <c r="J69" s="19">
        <f t="shared" si="15"/>
        <v>0.19557027777777777</v>
      </c>
      <c r="L69" s="17">
        <v>646.25760000000002</v>
      </c>
      <c r="M69" s="18">
        <v>33.305599999999998</v>
      </c>
      <c r="N69" s="18">
        <v>39.145600000000002</v>
      </c>
      <c r="O69" s="18">
        <v>40.096699999999998</v>
      </c>
      <c r="P69" s="18">
        <v>1519.5740000000001</v>
      </c>
      <c r="Q69" s="18">
        <v>1.2490000000000001</v>
      </c>
      <c r="R69" s="19">
        <f t="shared" si="16"/>
        <v>0.42210388888888889</v>
      </c>
      <c r="S69" s="18">
        <f t="shared" si="17"/>
        <v>2.1583233080464113</v>
      </c>
      <c r="T69" s="18">
        <f t="shared" si="18"/>
        <v>1.1201793721973095</v>
      </c>
      <c r="U69" s="59"/>
      <c r="V69" s="42"/>
      <c r="W69" s="25"/>
      <c r="X69" s="25"/>
      <c r="Y69" s="42"/>
      <c r="Z69" s="25"/>
      <c r="AA69" s="54"/>
    </row>
    <row r="70" spans="1:27" ht="12.75" thickBot="1">
      <c r="A70" s="16"/>
      <c r="B70" s="21"/>
      <c r="C70" s="21">
        <v>37</v>
      </c>
      <c r="D70" s="22">
        <v>382.86559999999997</v>
      </c>
      <c r="E70" s="23">
        <v>29.6873</v>
      </c>
      <c r="F70" s="23">
        <v>37.9589</v>
      </c>
      <c r="G70" s="23">
        <v>38.843299999999999</v>
      </c>
      <c r="H70" s="23">
        <v>615.55499999999995</v>
      </c>
      <c r="I70" s="23">
        <v>0.91100000000000003</v>
      </c>
      <c r="J70" s="24">
        <f t="shared" si="15"/>
        <v>0.17098749999999999</v>
      </c>
      <c r="L70" s="22">
        <v>382.096</v>
      </c>
      <c r="M70" s="23">
        <v>29.763500000000001</v>
      </c>
      <c r="N70" s="23">
        <v>38.002600000000001</v>
      </c>
      <c r="O70" s="23">
        <v>38.878599999999999</v>
      </c>
      <c r="P70" s="23">
        <v>1287.0319999999999</v>
      </c>
      <c r="Q70" s="23">
        <v>0.98399999999999999</v>
      </c>
      <c r="R70" s="24">
        <f t="shared" si="16"/>
        <v>0.35750888888888888</v>
      </c>
      <c r="S70" s="18">
        <f t="shared" si="17"/>
        <v>2.0908480964333003</v>
      </c>
      <c r="T70" s="18">
        <f t="shared" si="18"/>
        <v>1.0801317233809</v>
      </c>
      <c r="U70" s="59"/>
      <c r="V70" s="43"/>
      <c r="W70" s="55"/>
      <c r="X70" s="55"/>
      <c r="Y70" s="43"/>
      <c r="Z70" s="55"/>
      <c r="AA70" s="56"/>
    </row>
    <row r="71" spans="1:27">
      <c r="A71" s="16"/>
      <c r="B71" s="11" t="s">
        <v>58</v>
      </c>
      <c r="C71" s="11">
        <v>22</v>
      </c>
      <c r="D71" s="12">
        <v>1453.0183</v>
      </c>
      <c r="E71" s="13">
        <v>41.209000000000003</v>
      </c>
      <c r="F71" s="13">
        <v>42.639200000000002</v>
      </c>
      <c r="G71" s="13">
        <v>43.428199999999997</v>
      </c>
      <c r="H71" s="13">
        <v>825.48199999999997</v>
      </c>
      <c r="I71" s="13">
        <v>1.5249999999999999</v>
      </c>
      <c r="J71" s="14">
        <f t="shared" si="15"/>
        <v>0.22930055555555554</v>
      </c>
      <c r="L71" s="12">
        <v>1448.6134999999999</v>
      </c>
      <c r="M71" s="13">
        <v>41.351900000000001</v>
      </c>
      <c r="N71" s="13">
        <v>42.653100000000002</v>
      </c>
      <c r="O71" s="13">
        <v>43.4465</v>
      </c>
      <c r="P71" s="13">
        <v>1800.895</v>
      </c>
      <c r="Q71" s="13">
        <v>2.581</v>
      </c>
      <c r="R71" s="14">
        <f t="shared" si="16"/>
        <v>0.50024861111111107</v>
      </c>
      <c r="S71" s="18">
        <f t="shared" si="17"/>
        <v>2.1816284304200457</v>
      </c>
      <c r="T71" s="18">
        <f t="shared" si="18"/>
        <v>1.6924590163934428</v>
      </c>
      <c r="U71" s="59"/>
      <c r="V71" s="41">
        <f>bdrate($D71:$D74,E71:E74,$L71:$L74,M71:M74)</f>
        <v>-1.762262410198745E-2</v>
      </c>
      <c r="W71" s="46">
        <f>bdrate($D71:$D74,F71:F74,$L71:$L74,N71:N74)</f>
        <v>-6.8486391727903273E-3</v>
      </c>
      <c r="X71" s="46">
        <f>bdrate($D71:$D74,G71:G74,$L71:$L74,O71:O74)</f>
        <v>-8.5578653163681517E-3</v>
      </c>
      <c r="Y71" s="44">
        <f>bdrateOld($D71:$D74,E71:E74,$L71:$L74,M71:M74)</f>
        <v>-1.7615529785837358E-2</v>
      </c>
      <c r="Z71" s="48">
        <f>bdrateOld($D71:$D74,F71:F74,$L71:$L74,N71:N74)</f>
        <v>-6.4827759523055084E-3</v>
      </c>
      <c r="AA71" s="49">
        <f>bdrateOld($D71:$D74,G71:G74,$L71:$L74,O71:O74)</f>
        <v>-8.1772592106600372E-3</v>
      </c>
    </row>
    <row r="72" spans="1:27">
      <c r="A72" s="16"/>
      <c r="B72" s="16"/>
      <c r="C72" s="16">
        <v>27</v>
      </c>
      <c r="D72" s="17">
        <v>899.50559999999996</v>
      </c>
      <c r="E72" s="18">
        <v>36.887799999999999</v>
      </c>
      <c r="F72" s="18">
        <v>39.457999999999998</v>
      </c>
      <c r="G72" s="18">
        <v>40.037599999999998</v>
      </c>
      <c r="H72" s="18">
        <v>817.18399999999997</v>
      </c>
      <c r="I72" s="18">
        <v>1.252</v>
      </c>
      <c r="J72" s="19">
        <f t="shared" si="15"/>
        <v>0.22699555555555553</v>
      </c>
      <c r="L72" s="17">
        <v>896.60789999999997</v>
      </c>
      <c r="M72" s="18">
        <v>37.007899999999999</v>
      </c>
      <c r="N72" s="18">
        <v>39.476999999999997</v>
      </c>
      <c r="O72" s="18">
        <v>40.056899999999999</v>
      </c>
      <c r="P72" s="18">
        <v>1990.7719999999999</v>
      </c>
      <c r="Q72" s="18">
        <v>2.3730000000000002</v>
      </c>
      <c r="R72" s="19">
        <f t="shared" si="16"/>
        <v>0.55299222222222222</v>
      </c>
      <c r="S72" s="18">
        <f t="shared" si="17"/>
        <v>2.436136781924267</v>
      </c>
      <c r="T72" s="18">
        <f t="shared" si="18"/>
        <v>1.8953674121405752</v>
      </c>
      <c r="U72" s="59"/>
      <c r="V72" s="42"/>
      <c r="W72" s="25"/>
      <c r="X72" s="25"/>
      <c r="Y72" s="42"/>
      <c r="Z72" s="25"/>
      <c r="AA72" s="54"/>
    </row>
    <row r="73" spans="1:27">
      <c r="A73" s="16"/>
      <c r="B73" s="16"/>
      <c r="C73" s="16">
        <v>32</v>
      </c>
      <c r="D73" s="17">
        <v>509.86270000000002</v>
      </c>
      <c r="E73" s="18">
        <v>32.929900000000004</v>
      </c>
      <c r="F73" s="18">
        <v>37.119399999999999</v>
      </c>
      <c r="G73" s="18">
        <v>37.581699999999998</v>
      </c>
      <c r="H73" s="18">
        <v>736.75400000000002</v>
      </c>
      <c r="I73" s="18">
        <v>1.002</v>
      </c>
      <c r="J73" s="19">
        <f t="shared" si="15"/>
        <v>0.20465388888888889</v>
      </c>
      <c r="L73" s="17">
        <v>508.81670000000003</v>
      </c>
      <c r="M73" s="18">
        <v>33.026699999999998</v>
      </c>
      <c r="N73" s="18">
        <v>37.1404</v>
      </c>
      <c r="O73" s="18">
        <v>37.616</v>
      </c>
      <c r="P73" s="18">
        <v>1477.7080000000001</v>
      </c>
      <c r="Q73" s="18">
        <v>1.048</v>
      </c>
      <c r="R73" s="19">
        <f t="shared" si="16"/>
        <v>0.41047444444444448</v>
      </c>
      <c r="S73" s="18">
        <f t="shared" si="17"/>
        <v>2.0057006816386473</v>
      </c>
      <c r="T73" s="18">
        <f t="shared" si="18"/>
        <v>1.0459081836327346</v>
      </c>
      <c r="U73" s="59"/>
      <c r="V73" s="42"/>
      <c r="W73" s="25"/>
      <c r="X73" s="25"/>
      <c r="Y73" s="42"/>
      <c r="Z73" s="25"/>
      <c r="AA73" s="54"/>
    </row>
    <row r="74" spans="1:27" ht="12.75" thickBot="1">
      <c r="A74" s="16"/>
      <c r="B74" s="21"/>
      <c r="C74" s="21">
        <v>37</v>
      </c>
      <c r="D74" s="22">
        <v>260.69209999999998</v>
      </c>
      <c r="E74" s="23">
        <v>29.415600000000001</v>
      </c>
      <c r="F74" s="23">
        <v>35.513800000000003</v>
      </c>
      <c r="G74" s="23">
        <v>35.9221</v>
      </c>
      <c r="H74" s="23">
        <v>645.44500000000005</v>
      </c>
      <c r="I74" s="23">
        <v>0.81799999999999995</v>
      </c>
      <c r="J74" s="24">
        <f t="shared" si="15"/>
        <v>0.17929027777777778</v>
      </c>
      <c r="L74" s="22">
        <v>260.61829999999998</v>
      </c>
      <c r="M74" s="23">
        <v>29.488299999999999</v>
      </c>
      <c r="N74" s="23">
        <v>35.522199999999998</v>
      </c>
      <c r="O74" s="23">
        <v>35.949100000000001</v>
      </c>
      <c r="P74" s="23">
        <v>1263.6310000000001</v>
      </c>
      <c r="Q74" s="23">
        <v>0.82599999999999996</v>
      </c>
      <c r="R74" s="24">
        <f t="shared" si="16"/>
        <v>0.35100861111111115</v>
      </c>
      <c r="S74" s="18">
        <f t="shared" si="17"/>
        <v>1.957767121908141</v>
      </c>
      <c r="T74" s="18">
        <f t="shared" si="18"/>
        <v>1.0097799511002445</v>
      </c>
      <c r="U74" s="59"/>
      <c r="V74" s="43"/>
      <c r="W74" s="55"/>
      <c r="X74" s="55"/>
      <c r="Y74" s="43"/>
      <c r="Z74" s="55"/>
      <c r="AA74" s="56"/>
    </row>
    <row r="75" spans="1:27">
      <c r="A75" s="16"/>
      <c r="B75" s="11" t="s">
        <v>55</v>
      </c>
      <c r="C75" s="11">
        <v>22</v>
      </c>
      <c r="D75" s="12">
        <v>564.24549999999999</v>
      </c>
      <c r="E75" s="13">
        <v>42.6723</v>
      </c>
      <c r="F75" s="13">
        <v>43.389499999999998</v>
      </c>
      <c r="G75" s="13">
        <v>44.258699999999997</v>
      </c>
      <c r="H75" s="13">
        <v>417.39499999999998</v>
      </c>
      <c r="I75" s="13">
        <v>0.65100000000000002</v>
      </c>
      <c r="J75" s="14">
        <f t="shared" si="15"/>
        <v>0.11594305555555555</v>
      </c>
      <c r="L75" s="12">
        <v>559.42819999999995</v>
      </c>
      <c r="M75" s="13">
        <v>42.813299999999998</v>
      </c>
      <c r="N75" s="13">
        <v>43.405500000000004</v>
      </c>
      <c r="O75" s="13">
        <v>44.2941</v>
      </c>
      <c r="P75" s="13">
        <v>927.97900000000004</v>
      </c>
      <c r="Q75" s="13">
        <v>1.0669999999999999</v>
      </c>
      <c r="R75" s="14">
        <f t="shared" si="16"/>
        <v>0.25777194444444446</v>
      </c>
      <c r="S75" s="18">
        <f t="shared" si="17"/>
        <v>2.2232633356892153</v>
      </c>
      <c r="T75" s="18">
        <f t="shared" si="18"/>
        <v>1.6390168970814132</v>
      </c>
      <c r="U75" s="59"/>
      <c r="V75" s="41">
        <f>bdrate($D75:$D78,E75:E78,$L75:$L78,M75:M78)</f>
        <v>-2.5003720897541881E-2</v>
      </c>
      <c r="W75" s="46">
        <f>bdrate($D75:$D78,F75:F78,$L75:$L78,N75:N78)</f>
        <v>-1.2171321216759345E-2</v>
      </c>
      <c r="X75" s="46">
        <f>bdrate($D75:$D78,G75:G78,$L75:$L78,O75:O78)</f>
        <v>-5.6771656790316483E-3</v>
      </c>
      <c r="Y75" s="44">
        <f>bdrateOld($D75:$D78,E75:E78,$L75:$L78,M75:M78)</f>
        <v>-2.492005293817523E-2</v>
      </c>
      <c r="Z75" s="48">
        <f>bdrateOld($D75:$D78,F75:F78,$L75:$L78,N75:N78)</f>
        <v>-1.274436928770406E-2</v>
      </c>
      <c r="AA75" s="49">
        <f>bdrateOld($D75:$D78,G75:G78,$L75:$L78,O75:O78)</f>
        <v>-6.2233145220530472E-3</v>
      </c>
    </row>
    <row r="76" spans="1:27">
      <c r="A76" s="16"/>
      <c r="B76" s="16"/>
      <c r="C76" s="16">
        <v>27</v>
      </c>
      <c r="D76" s="17">
        <v>339.96080000000001</v>
      </c>
      <c r="E76" s="18">
        <v>38.612499999999997</v>
      </c>
      <c r="F76" s="18">
        <v>39.958300000000001</v>
      </c>
      <c r="G76" s="18">
        <v>41.307699999999997</v>
      </c>
      <c r="H76" s="18">
        <v>453.15100000000001</v>
      </c>
      <c r="I76" s="18">
        <v>0.54200000000000004</v>
      </c>
      <c r="J76" s="19">
        <f t="shared" si="15"/>
        <v>0.12587527777777779</v>
      </c>
      <c r="L76" s="17">
        <v>337.18340000000001</v>
      </c>
      <c r="M76" s="18">
        <v>38.743899999999996</v>
      </c>
      <c r="N76" s="18">
        <v>39.964799999999997</v>
      </c>
      <c r="O76" s="18">
        <v>41.297800000000002</v>
      </c>
      <c r="P76" s="18">
        <v>837.08799999999997</v>
      </c>
      <c r="Q76" s="18">
        <v>0.60599999999999998</v>
      </c>
      <c r="R76" s="19">
        <f t="shared" si="16"/>
        <v>0.23252444444444442</v>
      </c>
      <c r="S76" s="18">
        <f t="shared" si="17"/>
        <v>1.8472606261488995</v>
      </c>
      <c r="T76" s="18">
        <f t="shared" si="18"/>
        <v>1.1180811808118081</v>
      </c>
      <c r="U76" s="59"/>
      <c r="V76" s="42"/>
      <c r="W76" s="25"/>
      <c r="X76" s="25"/>
      <c r="Y76" s="42"/>
      <c r="Z76" s="25"/>
      <c r="AA76" s="54"/>
    </row>
    <row r="77" spans="1:27">
      <c r="A77" s="16"/>
      <c r="B77" s="16"/>
      <c r="C77" s="16">
        <v>32</v>
      </c>
      <c r="D77" s="17">
        <v>186.12</v>
      </c>
      <c r="E77" s="18">
        <v>34.7605</v>
      </c>
      <c r="F77" s="18">
        <v>37.763500000000001</v>
      </c>
      <c r="G77" s="18">
        <v>39.029400000000003</v>
      </c>
      <c r="H77" s="18">
        <v>567.58000000000004</v>
      </c>
      <c r="I77" s="18">
        <v>0.45200000000000001</v>
      </c>
      <c r="J77" s="19">
        <f t="shared" si="15"/>
        <v>0.15766111111111111</v>
      </c>
      <c r="L77" s="17">
        <v>185.2713</v>
      </c>
      <c r="M77" s="18">
        <v>34.8827</v>
      </c>
      <c r="N77" s="18">
        <v>37.790700000000001</v>
      </c>
      <c r="O77" s="18">
        <v>39.019399999999997</v>
      </c>
      <c r="P77" s="18">
        <v>755.548</v>
      </c>
      <c r="Q77" s="18">
        <v>0.58099999999999996</v>
      </c>
      <c r="R77" s="19">
        <f t="shared" si="16"/>
        <v>0.20987444444444445</v>
      </c>
      <c r="S77" s="18">
        <f t="shared" si="17"/>
        <v>1.3311744599880193</v>
      </c>
      <c r="T77" s="18">
        <f t="shared" si="18"/>
        <v>1.2853982300884954</v>
      </c>
      <c r="U77" s="59"/>
      <c r="V77" s="42"/>
      <c r="W77" s="25"/>
      <c r="X77" s="25"/>
      <c r="Y77" s="42"/>
      <c r="Z77" s="25"/>
      <c r="AA77" s="54"/>
    </row>
    <row r="78" spans="1:27" ht="12.75" thickBot="1">
      <c r="A78" s="21"/>
      <c r="B78" s="21"/>
      <c r="C78" s="21">
        <v>37</v>
      </c>
      <c r="D78" s="22">
        <v>92.437100000000001</v>
      </c>
      <c r="E78" s="23">
        <v>31.445900000000002</v>
      </c>
      <c r="F78" s="23">
        <v>36.231000000000002</v>
      </c>
      <c r="G78" s="23">
        <v>37.372799999999998</v>
      </c>
      <c r="H78" s="23">
        <v>313.02300000000002</v>
      </c>
      <c r="I78" s="23">
        <v>0.35299999999999998</v>
      </c>
      <c r="J78" s="24">
        <f t="shared" si="15"/>
        <v>8.6950833333333338E-2</v>
      </c>
      <c r="L78" s="22">
        <v>92.664500000000004</v>
      </c>
      <c r="M78" s="23">
        <v>31.531600000000001</v>
      </c>
      <c r="N78" s="23">
        <v>36.286799999999999</v>
      </c>
      <c r="O78" s="23">
        <v>37.386200000000002</v>
      </c>
      <c r="P78" s="23">
        <v>1003.894</v>
      </c>
      <c r="Q78" s="23">
        <v>0.42399999999999999</v>
      </c>
      <c r="R78" s="24">
        <f t="shared" si="16"/>
        <v>0.27885944444444444</v>
      </c>
      <c r="S78" s="23">
        <f t="shared" si="17"/>
        <v>3.2070934084715819</v>
      </c>
      <c r="T78" s="23">
        <f t="shared" si="18"/>
        <v>1.2011331444759208</v>
      </c>
      <c r="U78" s="60"/>
      <c r="V78" s="43"/>
      <c r="W78" s="55"/>
      <c r="X78" s="55"/>
      <c r="Y78" s="43"/>
      <c r="Z78" s="55"/>
      <c r="AA78" s="56"/>
    </row>
    <row r="79" spans="1:27">
      <c r="A79" s="11" t="s">
        <v>50</v>
      </c>
      <c r="B79" s="11" t="s">
        <v>59</v>
      </c>
      <c r="C79" s="11">
        <v>22</v>
      </c>
      <c r="D79" s="12">
        <v>3760.3</v>
      </c>
      <c r="E79" s="13">
        <v>44.069499999999998</v>
      </c>
      <c r="F79" s="13">
        <v>47.278199999999998</v>
      </c>
      <c r="G79" s="13">
        <v>48.432200000000002</v>
      </c>
      <c r="H79" s="13">
        <v>5860.5020000000004</v>
      </c>
      <c r="I79" s="13">
        <v>7.61</v>
      </c>
      <c r="J79" s="14">
        <f>H79/3600</f>
        <v>1.6279172222222222</v>
      </c>
      <c r="L79" s="12">
        <v>3698.1255999999998</v>
      </c>
      <c r="M79" s="13">
        <v>44.1526</v>
      </c>
      <c r="N79" s="13">
        <v>47.282800000000002</v>
      </c>
      <c r="O79" s="13">
        <v>48.433700000000002</v>
      </c>
      <c r="P79" s="13">
        <v>12351.156000000001</v>
      </c>
      <c r="Q79" s="13">
        <v>8.7880000000000003</v>
      </c>
      <c r="R79" s="14">
        <f>P79/3600</f>
        <v>3.4308766666666668</v>
      </c>
      <c r="S79" s="13">
        <f>P79/H79</f>
        <v>2.1075252597814997</v>
      </c>
      <c r="T79" s="13">
        <f>Q79/I79</f>
        <v>1.154796320630749</v>
      </c>
      <c r="U79" s="58"/>
      <c r="V79" s="41">
        <f>bdrate($D79:$D82,E79:E82,$L79:$L82,M79:M82)</f>
        <v>-3.3059298262637316E-2</v>
      </c>
      <c r="W79" s="46">
        <f>bdrate($D79:$D82,F79:F82,$L79:$L82,N79:N82)</f>
        <v>-2.0583559275891172E-2</v>
      </c>
      <c r="X79" s="47">
        <f>bdrate($D79:$D82,G79:G82,$L79:$L82,O79:O82)</f>
        <v>-2.2660205403191469E-2</v>
      </c>
      <c r="Y79" s="41">
        <f>bdrateOld($D79:$D82,E79:E82,$L79:$L82,M79:M82)</f>
        <v>-3.3020969728684402E-2</v>
      </c>
      <c r="Z79" s="46">
        <f>bdrateOld($D79:$D82,F79:F82,$L79:$L82,N79:N82)</f>
        <v>-2.0613878828194654E-2</v>
      </c>
      <c r="AA79" s="47">
        <f>bdrateOld($D79:$D82,G79:G82,$L79:$L82,O79:O82)</f>
        <v>-2.2356747975695535E-2</v>
      </c>
    </row>
    <row r="80" spans="1:27">
      <c r="A80" s="16" t="s">
        <v>51</v>
      </c>
      <c r="B80" s="16"/>
      <c r="C80" s="16">
        <v>27</v>
      </c>
      <c r="D80" s="17">
        <v>2310.3375999999998</v>
      </c>
      <c r="E80" s="18">
        <v>41.542900000000003</v>
      </c>
      <c r="F80" s="18">
        <v>44.9786</v>
      </c>
      <c r="G80" s="18">
        <v>46.144599999999997</v>
      </c>
      <c r="H80" s="18">
        <v>5243.527</v>
      </c>
      <c r="I80" s="18">
        <v>6.5819999999999999</v>
      </c>
      <c r="J80" s="19">
        <f t="shared" ref="J80:J90" si="19">H80/3600</f>
        <v>1.4565352777777778</v>
      </c>
      <c r="L80" s="17">
        <v>2261.9335999999998</v>
      </c>
      <c r="M80" s="18">
        <v>41.625399999999999</v>
      </c>
      <c r="N80" s="18">
        <v>44.975900000000003</v>
      </c>
      <c r="O80" s="18">
        <v>46.147399999999998</v>
      </c>
      <c r="P80" s="18">
        <v>11377.753000000001</v>
      </c>
      <c r="Q80" s="18">
        <v>7.94</v>
      </c>
      <c r="R80" s="19">
        <f t="shared" ref="R80:R90" si="20">P80/3600</f>
        <v>3.1604869444444446</v>
      </c>
      <c r="S80" s="18">
        <f t="shared" ref="S80:S90" si="21">P80/H80</f>
        <v>2.1698663895503922</v>
      </c>
      <c r="T80" s="18">
        <f t="shared" ref="T80:T90" si="22">Q80/I80</f>
        <v>1.2063202673959283</v>
      </c>
      <c r="U80" s="59"/>
      <c r="V80" s="42"/>
      <c r="W80" s="25"/>
      <c r="X80" s="54"/>
      <c r="Y80" s="42"/>
      <c r="Z80" s="25"/>
      <c r="AA80" s="54"/>
    </row>
    <row r="81" spans="1:27">
      <c r="A81" s="16"/>
      <c r="B81" s="16"/>
      <c r="C81" s="16">
        <v>32</v>
      </c>
      <c r="D81" s="17">
        <v>1411.1592000000001</v>
      </c>
      <c r="E81" s="18">
        <v>38.712800000000001</v>
      </c>
      <c r="F81" s="18">
        <v>43.002600000000001</v>
      </c>
      <c r="G81" s="18">
        <v>44.162199999999999</v>
      </c>
      <c r="H81" s="18">
        <v>4623.8469999999998</v>
      </c>
      <c r="I81" s="18">
        <v>5.9509999999999996</v>
      </c>
      <c r="J81" s="19">
        <f t="shared" si="19"/>
        <v>1.2844019444444443</v>
      </c>
      <c r="L81" s="17">
        <v>1385.6096</v>
      </c>
      <c r="M81" s="18">
        <v>38.802599999999998</v>
      </c>
      <c r="N81" s="18">
        <v>43.016500000000001</v>
      </c>
      <c r="O81" s="18">
        <v>44.194000000000003</v>
      </c>
      <c r="P81" s="18">
        <v>9552.4570000000003</v>
      </c>
      <c r="Q81" s="18">
        <v>7.4820000000000002</v>
      </c>
      <c r="R81" s="19">
        <f t="shared" si="20"/>
        <v>2.653460277777778</v>
      </c>
      <c r="S81" s="18">
        <f t="shared" si="21"/>
        <v>2.0659111341703134</v>
      </c>
      <c r="T81" s="18">
        <f t="shared" si="22"/>
        <v>1.257267686103176</v>
      </c>
      <c r="U81" s="59"/>
      <c r="V81" s="42"/>
      <c r="W81" s="25"/>
      <c r="X81" s="54"/>
      <c r="Y81" s="42"/>
      <c r="Z81" s="25"/>
      <c r="AA81" s="54"/>
    </row>
    <row r="82" spans="1:27" ht="12.75" thickBot="1">
      <c r="A82" s="16"/>
      <c r="B82" s="21"/>
      <c r="C82" s="21">
        <v>37</v>
      </c>
      <c r="D82" s="22">
        <v>848.47040000000004</v>
      </c>
      <c r="E82" s="23">
        <v>35.672899999999998</v>
      </c>
      <c r="F82" s="23">
        <v>41.6616</v>
      </c>
      <c r="G82" s="23">
        <v>42.8048</v>
      </c>
      <c r="H82" s="23">
        <v>3995.3589999999999</v>
      </c>
      <c r="I82" s="23">
        <v>5.0259999999999998</v>
      </c>
      <c r="J82" s="24">
        <f t="shared" si="19"/>
        <v>1.1098219444444444</v>
      </c>
      <c r="L82" s="22">
        <v>835.08479999999997</v>
      </c>
      <c r="M82" s="23">
        <v>35.741599999999998</v>
      </c>
      <c r="N82" s="23">
        <v>41.674900000000001</v>
      </c>
      <c r="O82" s="23">
        <v>42.817799999999998</v>
      </c>
      <c r="P82" s="23">
        <v>8264.5390000000007</v>
      </c>
      <c r="Q82" s="23">
        <v>6.5570000000000004</v>
      </c>
      <c r="R82" s="24">
        <f t="shared" si="20"/>
        <v>2.295705277777778</v>
      </c>
      <c r="S82" s="18">
        <f t="shared" si="21"/>
        <v>2.0685347674639503</v>
      </c>
      <c r="T82" s="18">
        <f t="shared" si="22"/>
        <v>1.304615996816554</v>
      </c>
      <c r="U82" s="59"/>
      <c r="V82" s="43"/>
      <c r="W82" s="55"/>
      <c r="X82" s="56"/>
      <c r="Y82" s="43"/>
      <c r="Z82" s="55"/>
      <c r="AA82" s="56"/>
    </row>
    <row r="83" spans="1:27">
      <c r="A83" s="16"/>
      <c r="B83" s="11" t="s">
        <v>60</v>
      </c>
      <c r="C83" s="11">
        <v>22</v>
      </c>
      <c r="D83" s="12">
        <v>2493.3416000000002</v>
      </c>
      <c r="E83" s="13">
        <v>44.263800000000003</v>
      </c>
      <c r="F83" s="13">
        <v>48.574399999999997</v>
      </c>
      <c r="G83" s="13">
        <v>49.186799999999998</v>
      </c>
      <c r="H83" s="13">
        <v>4249.7169999999996</v>
      </c>
      <c r="I83" s="13">
        <v>5.9349999999999996</v>
      </c>
      <c r="J83" s="14">
        <f t="shared" si="19"/>
        <v>1.1804769444444443</v>
      </c>
      <c r="L83" s="12">
        <v>2452.1192000000001</v>
      </c>
      <c r="M83" s="13">
        <v>44.325299999999999</v>
      </c>
      <c r="N83" s="13">
        <v>48.586300000000001</v>
      </c>
      <c r="O83" s="13">
        <v>49.1995</v>
      </c>
      <c r="P83" s="13">
        <v>9225.277</v>
      </c>
      <c r="Q83" s="13">
        <v>7.3449999999999998</v>
      </c>
      <c r="R83" s="14">
        <f t="shared" si="20"/>
        <v>2.5625769444444444</v>
      </c>
      <c r="S83" s="18">
        <f t="shared" si="21"/>
        <v>2.1707979613701336</v>
      </c>
      <c r="T83" s="18">
        <f t="shared" si="22"/>
        <v>1.2375737152485258</v>
      </c>
      <c r="U83" s="59"/>
      <c r="V83" s="41">
        <f>bdrate($D83:$D86,E83:E86,$L83:$L86,M83:M86)</f>
        <v>-3.3630461344736684E-2</v>
      </c>
      <c r="W83" s="46">
        <f>bdrate($D83:$D86,F83:F86,$L83:$L86,N83:N86)</f>
        <v>-2.1804633511474991E-2</v>
      </c>
      <c r="X83" s="46">
        <f>bdrate($D83:$D86,G83:G86,$L83:$L86,O83:O86)</f>
        <v>-2.4268605786761155E-2</v>
      </c>
      <c r="Y83" s="44">
        <f>bdrateOld($D83:$D86,E83:E86,$L83:$L86,M83:M86)</f>
        <v>-3.3624136048791109E-2</v>
      </c>
      <c r="Z83" s="48">
        <f>bdrateOld($D83:$D86,F83:F86,$L83:$L86,N83:N86)</f>
        <v>-2.2223355649736765E-2</v>
      </c>
      <c r="AA83" s="49">
        <f>bdrateOld($D83:$D86,G83:G86,$L83:$L86,O83:O86)</f>
        <v>-2.4616693235097964E-2</v>
      </c>
    </row>
    <row r="84" spans="1:27">
      <c r="A84" s="16"/>
      <c r="B84" s="16"/>
      <c r="C84" s="16">
        <v>27</v>
      </c>
      <c r="D84" s="17">
        <v>1386.6944000000001</v>
      </c>
      <c r="E84" s="18">
        <v>42.0944</v>
      </c>
      <c r="F84" s="18">
        <v>46.720500000000001</v>
      </c>
      <c r="G84" s="18">
        <v>47.269100000000002</v>
      </c>
      <c r="H84" s="18">
        <v>3798.538</v>
      </c>
      <c r="I84" s="18">
        <v>5.1260000000000003</v>
      </c>
      <c r="J84" s="19">
        <f t="shared" si="19"/>
        <v>1.0551494444444445</v>
      </c>
      <c r="L84" s="17">
        <v>1359.4223999999999</v>
      </c>
      <c r="M84" s="18">
        <v>42.163699999999999</v>
      </c>
      <c r="N84" s="18">
        <v>46.7425</v>
      </c>
      <c r="O84" s="18">
        <v>47.296700000000001</v>
      </c>
      <c r="P84" s="18">
        <v>7654.83</v>
      </c>
      <c r="Q84" s="18">
        <v>7.41</v>
      </c>
      <c r="R84" s="19">
        <f t="shared" si="20"/>
        <v>2.1263416666666668</v>
      </c>
      <c r="S84" s="18">
        <f t="shared" si="21"/>
        <v>2.0152042706957256</v>
      </c>
      <c r="T84" s="18">
        <f t="shared" si="22"/>
        <v>1.4455715957861881</v>
      </c>
      <c r="U84" s="59"/>
      <c r="V84" s="42"/>
      <c r="W84" s="25"/>
      <c r="X84" s="25"/>
      <c r="Y84" s="42"/>
      <c r="Z84" s="25"/>
      <c r="AA84" s="54"/>
    </row>
    <row r="85" spans="1:27">
      <c r="A85" s="16"/>
      <c r="B85" s="16"/>
      <c r="C85" s="16">
        <v>32</v>
      </c>
      <c r="D85" s="17">
        <v>783.87760000000003</v>
      </c>
      <c r="E85" s="18">
        <v>39.783999999999999</v>
      </c>
      <c r="F85" s="18">
        <v>44.9724</v>
      </c>
      <c r="G85" s="18">
        <v>45.523299999999999</v>
      </c>
      <c r="H85" s="18">
        <v>3354.7649999999999</v>
      </c>
      <c r="I85" s="18">
        <v>4.484</v>
      </c>
      <c r="J85" s="19">
        <f t="shared" si="19"/>
        <v>0.93187916666666659</v>
      </c>
      <c r="L85" s="17">
        <v>775.28240000000005</v>
      </c>
      <c r="M85" s="18">
        <v>39.884099999999997</v>
      </c>
      <c r="N85" s="18">
        <v>44.983800000000002</v>
      </c>
      <c r="O85" s="18">
        <v>45.548299999999998</v>
      </c>
      <c r="P85" s="18">
        <v>6745.8010000000004</v>
      </c>
      <c r="Q85" s="18">
        <v>6.78</v>
      </c>
      <c r="R85" s="19">
        <f t="shared" si="20"/>
        <v>1.8738336111111111</v>
      </c>
      <c r="S85" s="18">
        <f t="shared" si="21"/>
        <v>2.0108117856243286</v>
      </c>
      <c r="T85" s="18">
        <f t="shared" si="22"/>
        <v>1.5120428189116861</v>
      </c>
      <c r="U85" s="59"/>
      <c r="V85" s="42"/>
      <c r="W85" s="25"/>
      <c r="X85" s="25"/>
      <c r="Y85" s="42"/>
      <c r="Z85" s="25"/>
      <c r="AA85" s="54"/>
    </row>
    <row r="86" spans="1:27" ht="12.75" thickBot="1">
      <c r="A86" s="16"/>
      <c r="B86" s="21"/>
      <c r="C86" s="21">
        <v>37</v>
      </c>
      <c r="D86" s="22">
        <v>447.00639999999999</v>
      </c>
      <c r="E86" s="23">
        <v>37.284399999999998</v>
      </c>
      <c r="F86" s="23">
        <v>43.557699999999997</v>
      </c>
      <c r="G86" s="23">
        <v>44.168199999999999</v>
      </c>
      <c r="H86" s="23">
        <v>2733.2829999999999</v>
      </c>
      <c r="I86" s="23">
        <v>3.847</v>
      </c>
      <c r="J86" s="24">
        <f t="shared" si="19"/>
        <v>0.75924527777777773</v>
      </c>
      <c r="L86" s="22">
        <v>442.90800000000002</v>
      </c>
      <c r="M86" s="23">
        <v>37.353000000000002</v>
      </c>
      <c r="N86" s="23">
        <v>43.599899999999998</v>
      </c>
      <c r="O86" s="23">
        <v>44.209099999999999</v>
      </c>
      <c r="P86" s="23">
        <v>5962.2039999999997</v>
      </c>
      <c r="Q86" s="23">
        <v>6.2949999999999999</v>
      </c>
      <c r="R86" s="24">
        <f t="shared" si="20"/>
        <v>1.6561677777777777</v>
      </c>
      <c r="S86" s="18">
        <f t="shared" si="21"/>
        <v>2.1813343148148214</v>
      </c>
      <c r="T86" s="18">
        <f t="shared" si="22"/>
        <v>1.6363400051988561</v>
      </c>
      <c r="U86" s="59"/>
      <c r="V86" s="43"/>
      <c r="W86" s="55"/>
      <c r="X86" s="55"/>
      <c r="Y86" s="43"/>
      <c r="Z86" s="55"/>
      <c r="AA86" s="56"/>
    </row>
    <row r="87" spans="1:27">
      <c r="A87" s="16"/>
      <c r="B87" s="11" t="s">
        <v>61</v>
      </c>
      <c r="C87" s="11">
        <v>22</v>
      </c>
      <c r="D87" s="12">
        <v>2759.4119999999998</v>
      </c>
      <c r="E87" s="13">
        <v>44.678400000000003</v>
      </c>
      <c r="F87" s="13">
        <v>47.986699999999999</v>
      </c>
      <c r="G87" s="13">
        <v>48.878399999999999</v>
      </c>
      <c r="H87" s="13">
        <v>4916.9120000000003</v>
      </c>
      <c r="I87" s="13">
        <v>5.726</v>
      </c>
      <c r="J87" s="14">
        <f t="shared" si="19"/>
        <v>1.3658088888888891</v>
      </c>
      <c r="L87" s="12">
        <v>2721.8552</v>
      </c>
      <c r="M87" s="13">
        <v>44.753799999999998</v>
      </c>
      <c r="N87" s="13">
        <v>47.990600000000001</v>
      </c>
      <c r="O87" s="13">
        <v>48.884900000000002</v>
      </c>
      <c r="P87" s="13">
        <v>10221.566000000001</v>
      </c>
      <c r="Q87" s="13">
        <v>7.875</v>
      </c>
      <c r="R87" s="14">
        <f t="shared" si="20"/>
        <v>2.839323888888889</v>
      </c>
      <c r="S87" s="18">
        <f t="shared" si="21"/>
        <v>2.0788588447383236</v>
      </c>
      <c r="T87" s="18">
        <f t="shared" si="22"/>
        <v>1.3753056234718826</v>
      </c>
      <c r="U87" s="59"/>
      <c r="V87" s="41">
        <f>bdrate($D87:$D90,E87:E90,$L87:$L90,M87:M90)</f>
        <v>-3.2445151535873795E-2</v>
      </c>
      <c r="W87" s="46">
        <f>bdrate($D87:$D90,F87:F90,$L87:$L90,N87:N90)</f>
        <v>-2.2923567104154885E-2</v>
      </c>
      <c r="X87" s="46">
        <f>bdrate($D87:$D90,G87:G90,$L87:$L90,O87:O90)</f>
        <v>-2.0760909991746734E-2</v>
      </c>
      <c r="Y87" s="44">
        <f>bdrateOld($D87:$D90,E87:E90,$L87:$L90,M87:M90)</f>
        <v>-3.2434282143589122E-2</v>
      </c>
      <c r="Z87" s="48">
        <f>bdrateOld($D87:$D90,F87:F90,$L87:$L90,N87:N90)</f>
        <v>-2.2708949500201636E-2</v>
      </c>
      <c r="AA87" s="49">
        <f>bdrateOld($D87:$D90,G87:G90,$L87:$L90,O87:O90)</f>
        <v>-2.0240911240634651E-2</v>
      </c>
    </row>
    <row r="88" spans="1:27">
      <c r="A88" s="16"/>
      <c r="B88" s="16"/>
      <c r="C88" s="16">
        <v>27</v>
      </c>
      <c r="D88" s="17">
        <v>1663.9304</v>
      </c>
      <c r="E88" s="18">
        <v>42.392899999999997</v>
      </c>
      <c r="F88" s="18">
        <v>45.877899999999997</v>
      </c>
      <c r="G88" s="18">
        <v>46.8506</v>
      </c>
      <c r="H88" s="18">
        <v>4393.8059999999996</v>
      </c>
      <c r="I88" s="18">
        <v>5.0279999999999996</v>
      </c>
      <c r="J88" s="19">
        <f t="shared" si="19"/>
        <v>1.2205016666666666</v>
      </c>
      <c r="L88" s="17">
        <v>1635.9760000000001</v>
      </c>
      <c r="M88" s="18">
        <v>42.473199999999999</v>
      </c>
      <c r="N88" s="18">
        <v>45.8992</v>
      </c>
      <c r="O88" s="18">
        <v>46.851199999999999</v>
      </c>
      <c r="P88" s="18">
        <v>8985.3790000000008</v>
      </c>
      <c r="Q88" s="18">
        <v>7.5880000000000001</v>
      </c>
      <c r="R88" s="19">
        <f t="shared" si="20"/>
        <v>2.4959386111111113</v>
      </c>
      <c r="S88" s="18">
        <f t="shared" si="21"/>
        <v>2.0450104078332094</v>
      </c>
      <c r="T88" s="18">
        <f t="shared" si="22"/>
        <v>1.5091487669053303</v>
      </c>
      <c r="U88" s="59"/>
      <c r="V88" s="42"/>
      <c r="W88" s="25"/>
      <c r="X88" s="25"/>
      <c r="Y88" s="42"/>
      <c r="Z88" s="25"/>
      <c r="AA88" s="54"/>
    </row>
    <row r="89" spans="1:27">
      <c r="A89" s="16"/>
      <c r="B89" s="16"/>
      <c r="C89" s="16">
        <v>32</v>
      </c>
      <c r="D89" s="17">
        <v>1004.1712</v>
      </c>
      <c r="E89" s="18">
        <v>39.787999999999997</v>
      </c>
      <c r="F89" s="18">
        <v>43.988799999999998</v>
      </c>
      <c r="G89" s="18">
        <v>44.998100000000001</v>
      </c>
      <c r="H89" s="18">
        <v>3617.7710000000002</v>
      </c>
      <c r="I89" s="18">
        <v>4.8739999999999997</v>
      </c>
      <c r="J89" s="19">
        <f t="shared" si="19"/>
        <v>1.0049363888888889</v>
      </c>
      <c r="L89" s="17">
        <v>986.11199999999997</v>
      </c>
      <c r="M89" s="18">
        <v>39.870600000000003</v>
      </c>
      <c r="N89" s="18">
        <v>44.020400000000002</v>
      </c>
      <c r="O89" s="18">
        <v>45.036900000000003</v>
      </c>
      <c r="P89" s="18">
        <v>7641.45</v>
      </c>
      <c r="Q89" s="18">
        <v>7.1050000000000004</v>
      </c>
      <c r="R89" s="19">
        <f t="shared" si="20"/>
        <v>2.1226249999999998</v>
      </c>
      <c r="S89" s="18">
        <f t="shared" si="21"/>
        <v>2.1121983674478013</v>
      </c>
      <c r="T89" s="18">
        <f t="shared" si="22"/>
        <v>1.4577349199835865</v>
      </c>
      <c r="U89" s="59"/>
      <c r="V89" s="42"/>
      <c r="W89" s="25"/>
      <c r="X89" s="25"/>
      <c r="Y89" s="42"/>
      <c r="Z89" s="25"/>
      <c r="AA89" s="54"/>
    </row>
    <row r="90" spans="1:27" ht="12.75" thickBot="1">
      <c r="A90" s="21"/>
      <c r="B90" s="21"/>
      <c r="C90" s="21">
        <v>37</v>
      </c>
      <c r="D90" s="22">
        <v>602.95360000000005</v>
      </c>
      <c r="E90" s="23">
        <v>36.959200000000003</v>
      </c>
      <c r="F90" s="23">
        <v>42.583399999999997</v>
      </c>
      <c r="G90" s="23">
        <v>43.561799999999998</v>
      </c>
      <c r="H90" s="23">
        <v>3306.027</v>
      </c>
      <c r="I90" s="23">
        <v>4.2939999999999996</v>
      </c>
      <c r="J90" s="24">
        <f t="shared" si="19"/>
        <v>0.91834083333333338</v>
      </c>
      <c r="L90" s="22">
        <v>592.72559999999999</v>
      </c>
      <c r="M90" s="23">
        <v>37.037999999999997</v>
      </c>
      <c r="N90" s="23">
        <v>42.601500000000001</v>
      </c>
      <c r="O90" s="23">
        <v>43.5578</v>
      </c>
      <c r="P90" s="23">
        <v>6462.54</v>
      </c>
      <c r="Q90" s="23">
        <v>6.7089999999999996</v>
      </c>
      <c r="R90" s="24">
        <f t="shared" si="20"/>
        <v>1.79515</v>
      </c>
      <c r="S90" s="18">
        <f t="shared" si="21"/>
        <v>1.9547753239764829</v>
      </c>
      <c r="T90" s="18">
        <f t="shared" si="22"/>
        <v>1.5624126688402422</v>
      </c>
      <c r="U90" s="59"/>
      <c r="V90" s="43"/>
      <c r="W90" s="55"/>
      <c r="X90" s="55"/>
      <c r="Y90" s="43"/>
      <c r="Z90" s="55"/>
      <c r="AA90" s="56"/>
    </row>
    <row r="91" spans="1:27">
      <c r="A91" s="34" t="s">
        <v>52</v>
      </c>
      <c r="B91" s="34" t="s">
        <v>62</v>
      </c>
      <c r="C91" s="34">
        <v>22</v>
      </c>
      <c r="D91" s="12">
        <f>Reference!B89</f>
        <v>0</v>
      </c>
      <c r="E91" s="13">
        <f>Reference!C89</f>
        <v>0</v>
      </c>
      <c r="F91" s="13">
        <f>Reference!D89</f>
        <v>0</v>
      </c>
      <c r="G91" s="13">
        <f>Reference!E89</f>
        <v>0</v>
      </c>
      <c r="H91" s="13">
        <f>Reference!F89</f>
        <v>0</v>
      </c>
      <c r="I91" s="13">
        <f>Reference!G89</f>
        <v>0</v>
      </c>
      <c r="J91" s="14">
        <f>H91/3600</f>
        <v>0</v>
      </c>
      <c r="L91" s="12">
        <f>Test!B89</f>
        <v>0</v>
      </c>
      <c r="M91" s="13">
        <f>Test!C89</f>
        <v>0</v>
      </c>
      <c r="N91" s="13">
        <f>Test!D89</f>
        <v>0</v>
      </c>
      <c r="O91" s="13">
        <f>Test!E89</f>
        <v>0</v>
      </c>
      <c r="P91" s="13">
        <f>Test!F89</f>
        <v>0</v>
      </c>
      <c r="Q91" s="13">
        <f>Test!G89</f>
        <v>0</v>
      </c>
      <c r="R91" s="14">
        <f>P91/3600</f>
        <v>0</v>
      </c>
      <c r="S91" s="13" t="e">
        <f>P91/H91</f>
        <v>#DIV/0!</v>
      </c>
      <c r="T91" s="13" t="e">
        <f>Q91/I91</f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>
      <c r="A92" s="35"/>
      <c r="B92" s="35"/>
      <c r="C92" s="35">
        <v>27</v>
      </c>
      <c r="D92" s="17">
        <f>Reference!B90</f>
        <v>0</v>
      </c>
      <c r="E92" s="18">
        <f>Reference!C90</f>
        <v>0</v>
      </c>
      <c r="F92" s="18">
        <f>Reference!D90</f>
        <v>0</v>
      </c>
      <c r="G92" s="18">
        <f>Reference!E90</f>
        <v>0</v>
      </c>
      <c r="H92" s="18">
        <f>Reference!F90</f>
        <v>0</v>
      </c>
      <c r="I92" s="18">
        <f>Reference!G90</f>
        <v>0</v>
      </c>
      <c r="J92" s="19">
        <f t="shared" ref="J92:J106" si="23">H92/3600</f>
        <v>0</v>
      </c>
      <c r="L92" s="17">
        <f>Test!B90</f>
        <v>0</v>
      </c>
      <c r="M92" s="18">
        <f>Test!C90</f>
        <v>0</v>
      </c>
      <c r="N92" s="18">
        <f>Test!D90</f>
        <v>0</v>
      </c>
      <c r="O92" s="18">
        <f>Test!E90</f>
        <v>0</v>
      </c>
      <c r="P92" s="18">
        <f>Test!F90</f>
        <v>0</v>
      </c>
      <c r="Q92" s="18">
        <f>Test!G90</f>
        <v>0</v>
      </c>
      <c r="R92" s="19">
        <f t="shared" ref="R92:R106" si="24">P92/3600</f>
        <v>0</v>
      </c>
      <c r="S92" s="18" t="e">
        <f t="shared" ref="S92:S106" si="25">P92/H92</f>
        <v>#DIV/0!</v>
      </c>
      <c r="T92" s="18" t="e">
        <f t="shared" ref="T92:T106" si="26">Q92/I92</f>
        <v>#DIV/0!</v>
      </c>
      <c r="U92" s="59"/>
      <c r="V92" s="42"/>
      <c r="W92" s="25"/>
      <c r="X92" s="54"/>
      <c r="Y92" s="42"/>
      <c r="Z92" s="25"/>
      <c r="AA92" s="54"/>
    </row>
    <row r="93" spans="1:27">
      <c r="A93" s="35"/>
      <c r="B93" s="35"/>
      <c r="C93" s="35">
        <v>32</v>
      </c>
      <c r="D93" s="17">
        <f>Reference!B91</f>
        <v>0</v>
      </c>
      <c r="E93" s="18">
        <f>Reference!C91</f>
        <v>0</v>
      </c>
      <c r="F93" s="18">
        <f>Reference!D91</f>
        <v>0</v>
      </c>
      <c r="G93" s="18">
        <f>Reference!E91</f>
        <v>0</v>
      </c>
      <c r="H93" s="18">
        <f>Reference!F91</f>
        <v>0</v>
      </c>
      <c r="I93" s="18">
        <f>Reference!G91</f>
        <v>0</v>
      </c>
      <c r="J93" s="19">
        <f t="shared" si="23"/>
        <v>0</v>
      </c>
      <c r="L93" s="17">
        <f>Test!B91</f>
        <v>0</v>
      </c>
      <c r="M93" s="18">
        <f>Test!C91</f>
        <v>0</v>
      </c>
      <c r="N93" s="18">
        <f>Test!D91</f>
        <v>0</v>
      </c>
      <c r="O93" s="18">
        <f>Test!E91</f>
        <v>0</v>
      </c>
      <c r="P93" s="18">
        <f>Test!F91</f>
        <v>0</v>
      </c>
      <c r="Q93" s="18">
        <f>Test!G91</f>
        <v>0</v>
      </c>
      <c r="R93" s="19">
        <f t="shared" si="24"/>
        <v>0</v>
      </c>
      <c r="S93" s="18" t="e">
        <f t="shared" si="25"/>
        <v>#DIV/0!</v>
      </c>
      <c r="T93" s="18" t="e">
        <f t="shared" si="26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>
      <c r="A94" s="35"/>
      <c r="B94" s="36"/>
      <c r="C94" s="36">
        <v>37</v>
      </c>
      <c r="D94" s="22">
        <f>Reference!B92</f>
        <v>0</v>
      </c>
      <c r="E94" s="23">
        <f>Reference!C92</f>
        <v>0</v>
      </c>
      <c r="F94" s="23">
        <f>Reference!D92</f>
        <v>0</v>
      </c>
      <c r="G94" s="23">
        <f>Reference!E92</f>
        <v>0</v>
      </c>
      <c r="H94" s="23">
        <f>Reference!F92</f>
        <v>0</v>
      </c>
      <c r="I94" s="23">
        <f>Reference!G92</f>
        <v>0</v>
      </c>
      <c r="J94" s="24">
        <f t="shared" si="23"/>
        <v>0</v>
      </c>
      <c r="L94" s="22">
        <f>Test!B92</f>
        <v>0</v>
      </c>
      <c r="M94" s="23">
        <f>Test!C92</f>
        <v>0</v>
      </c>
      <c r="N94" s="23">
        <f>Test!D92</f>
        <v>0</v>
      </c>
      <c r="O94" s="23">
        <f>Test!E92</f>
        <v>0</v>
      </c>
      <c r="P94" s="23">
        <f>Test!F92</f>
        <v>0</v>
      </c>
      <c r="Q94" s="23">
        <f>Test!G92</f>
        <v>0</v>
      </c>
      <c r="R94" s="24">
        <f t="shared" si="24"/>
        <v>0</v>
      </c>
      <c r="S94" s="18" t="e">
        <f t="shared" si="25"/>
        <v>#DIV/0!</v>
      </c>
      <c r="T94" s="18" t="e">
        <f t="shared" si="26"/>
        <v>#DIV/0!</v>
      </c>
      <c r="U94" s="59"/>
      <c r="V94" s="43"/>
      <c r="W94" s="55"/>
      <c r="X94" s="56"/>
      <c r="Y94" s="43"/>
      <c r="Z94" s="55"/>
      <c r="AA94" s="56"/>
    </row>
    <row r="95" spans="1:27">
      <c r="A95" s="35"/>
      <c r="B95" s="34" t="s">
        <v>523</v>
      </c>
      <c r="C95" s="34">
        <v>22</v>
      </c>
      <c r="D95" s="12">
        <f>Reference!B93</f>
        <v>0</v>
      </c>
      <c r="E95" s="13">
        <f>Reference!C93</f>
        <v>0</v>
      </c>
      <c r="F95" s="13">
        <f>Reference!D93</f>
        <v>0</v>
      </c>
      <c r="G95" s="13">
        <f>Reference!E93</f>
        <v>0</v>
      </c>
      <c r="H95" s="13">
        <f>Reference!F93</f>
        <v>0</v>
      </c>
      <c r="I95" s="13">
        <f>Reference!G93</f>
        <v>0</v>
      </c>
      <c r="J95" s="14">
        <f t="shared" si="23"/>
        <v>0</v>
      </c>
      <c r="L95" s="12">
        <f>Test!B93</f>
        <v>0</v>
      </c>
      <c r="M95" s="13">
        <f>Test!C93</f>
        <v>0</v>
      </c>
      <c r="N95" s="13">
        <f>Test!D93</f>
        <v>0</v>
      </c>
      <c r="O95" s="13">
        <f>Test!E93</f>
        <v>0</v>
      </c>
      <c r="P95" s="13">
        <f>Test!F93</f>
        <v>0</v>
      </c>
      <c r="Q95" s="13">
        <f>Test!G93</f>
        <v>0</v>
      </c>
      <c r="R95" s="14">
        <f t="shared" si="24"/>
        <v>0</v>
      </c>
      <c r="S95" s="18" t="e">
        <f t="shared" si="25"/>
        <v>#DIV/0!</v>
      </c>
      <c r="T95" s="18" t="e">
        <f t="shared" si="26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>
      <c r="A96" s="35"/>
      <c r="B96" s="35"/>
      <c r="C96" s="35">
        <v>27</v>
      </c>
      <c r="D96" s="17">
        <f>Reference!B94</f>
        <v>0</v>
      </c>
      <c r="E96" s="18">
        <f>Reference!C94</f>
        <v>0</v>
      </c>
      <c r="F96" s="18">
        <f>Reference!D94</f>
        <v>0</v>
      </c>
      <c r="G96" s="18">
        <f>Reference!E94</f>
        <v>0</v>
      </c>
      <c r="H96" s="18">
        <f>Reference!F94</f>
        <v>0</v>
      </c>
      <c r="I96" s="18">
        <f>Reference!G94</f>
        <v>0</v>
      </c>
      <c r="J96" s="19">
        <f t="shared" si="23"/>
        <v>0</v>
      </c>
      <c r="L96" s="17">
        <f>Test!B94</f>
        <v>0</v>
      </c>
      <c r="M96" s="18">
        <f>Test!C94</f>
        <v>0</v>
      </c>
      <c r="N96" s="18">
        <f>Test!D94</f>
        <v>0</v>
      </c>
      <c r="O96" s="18">
        <f>Test!E94</f>
        <v>0</v>
      </c>
      <c r="P96" s="18">
        <f>Test!F94</f>
        <v>0</v>
      </c>
      <c r="Q96" s="18">
        <f>Test!G94</f>
        <v>0</v>
      </c>
      <c r="R96" s="19">
        <f t="shared" si="24"/>
        <v>0</v>
      </c>
      <c r="S96" s="18" t="e">
        <f t="shared" si="25"/>
        <v>#DIV/0!</v>
      </c>
      <c r="T96" s="18" t="e">
        <f t="shared" si="26"/>
        <v>#DIV/0!</v>
      </c>
      <c r="U96" s="59"/>
      <c r="V96" s="42"/>
      <c r="W96" s="25"/>
      <c r="X96" s="25"/>
      <c r="Y96" s="42"/>
      <c r="Z96" s="25"/>
      <c r="AA96" s="54"/>
    </row>
    <row r="97" spans="1:27">
      <c r="A97" s="35"/>
      <c r="B97" s="35"/>
      <c r="C97" s="35">
        <v>32</v>
      </c>
      <c r="D97" s="17">
        <f>Reference!B95</f>
        <v>0</v>
      </c>
      <c r="E97" s="18">
        <f>Reference!C95</f>
        <v>0</v>
      </c>
      <c r="F97" s="18">
        <f>Reference!D95</f>
        <v>0</v>
      </c>
      <c r="G97" s="18">
        <f>Reference!E95</f>
        <v>0</v>
      </c>
      <c r="H97" s="18">
        <f>Reference!F95</f>
        <v>0</v>
      </c>
      <c r="I97" s="18">
        <f>Reference!G95</f>
        <v>0</v>
      </c>
      <c r="J97" s="19">
        <f t="shared" si="23"/>
        <v>0</v>
      </c>
      <c r="L97" s="17">
        <f>Test!B95</f>
        <v>0</v>
      </c>
      <c r="M97" s="18">
        <f>Test!C95</f>
        <v>0</v>
      </c>
      <c r="N97" s="18">
        <f>Test!D95</f>
        <v>0</v>
      </c>
      <c r="O97" s="18">
        <f>Test!E95</f>
        <v>0</v>
      </c>
      <c r="P97" s="18">
        <f>Test!F95</f>
        <v>0</v>
      </c>
      <c r="Q97" s="18">
        <f>Test!G95</f>
        <v>0</v>
      </c>
      <c r="R97" s="19">
        <f t="shared" si="24"/>
        <v>0</v>
      </c>
      <c r="S97" s="18" t="e">
        <f t="shared" si="25"/>
        <v>#DIV/0!</v>
      </c>
      <c r="T97" s="18" t="e">
        <f t="shared" si="26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>
      <c r="A98" s="35"/>
      <c r="B98" s="36"/>
      <c r="C98" s="36">
        <v>37</v>
      </c>
      <c r="D98" s="22">
        <f>Reference!B96</f>
        <v>0</v>
      </c>
      <c r="E98" s="23">
        <f>Reference!C96</f>
        <v>0</v>
      </c>
      <c r="F98" s="23">
        <f>Reference!D96</f>
        <v>0</v>
      </c>
      <c r="G98" s="23">
        <f>Reference!E96</f>
        <v>0</v>
      </c>
      <c r="H98" s="23">
        <f>Reference!F96</f>
        <v>0</v>
      </c>
      <c r="I98" s="23">
        <f>Reference!G96</f>
        <v>0</v>
      </c>
      <c r="J98" s="24">
        <f t="shared" si="23"/>
        <v>0</v>
      </c>
      <c r="L98" s="22">
        <f>Test!B96</f>
        <v>0</v>
      </c>
      <c r="M98" s="23">
        <f>Test!C96</f>
        <v>0</v>
      </c>
      <c r="N98" s="23">
        <f>Test!D96</f>
        <v>0</v>
      </c>
      <c r="O98" s="23">
        <f>Test!E96</f>
        <v>0</v>
      </c>
      <c r="P98" s="23">
        <f>Test!F96</f>
        <v>0</v>
      </c>
      <c r="Q98" s="23">
        <f>Test!G96</f>
        <v>0</v>
      </c>
      <c r="R98" s="24">
        <f t="shared" si="24"/>
        <v>0</v>
      </c>
      <c r="S98" s="18" t="e">
        <f t="shared" si="25"/>
        <v>#DIV/0!</v>
      </c>
      <c r="T98" s="18" t="e">
        <f t="shared" si="26"/>
        <v>#DIV/0!</v>
      </c>
      <c r="U98" s="59"/>
      <c r="V98" s="43"/>
      <c r="W98" s="55"/>
      <c r="X98" s="55"/>
      <c r="Y98" s="43"/>
      <c r="Z98" s="55"/>
      <c r="AA98" s="56"/>
    </row>
    <row r="99" spans="1:27">
      <c r="A99" s="35"/>
      <c r="B99" s="34" t="s">
        <v>64</v>
      </c>
      <c r="C99" s="34">
        <v>22</v>
      </c>
      <c r="D99" s="12">
        <f>Reference!B97</f>
        <v>0</v>
      </c>
      <c r="E99" s="13">
        <f>Reference!C97</f>
        <v>0</v>
      </c>
      <c r="F99" s="13">
        <f>Reference!D97</f>
        <v>0</v>
      </c>
      <c r="G99" s="13">
        <f>Reference!E97</f>
        <v>0</v>
      </c>
      <c r="H99" s="13">
        <f>Reference!F97</f>
        <v>0</v>
      </c>
      <c r="I99" s="13">
        <f>Reference!G97</f>
        <v>0</v>
      </c>
      <c r="J99" s="14">
        <f t="shared" si="23"/>
        <v>0</v>
      </c>
      <c r="L99" s="12">
        <f>Test!B97</f>
        <v>0</v>
      </c>
      <c r="M99" s="13">
        <f>Test!C97</f>
        <v>0</v>
      </c>
      <c r="N99" s="13">
        <f>Test!D97</f>
        <v>0</v>
      </c>
      <c r="O99" s="13">
        <f>Test!E97</f>
        <v>0</v>
      </c>
      <c r="P99" s="13">
        <f>Test!F97</f>
        <v>0</v>
      </c>
      <c r="Q99" s="13">
        <f>Test!G97</f>
        <v>0</v>
      </c>
      <c r="R99" s="14">
        <f t="shared" si="24"/>
        <v>0</v>
      </c>
      <c r="S99" s="18" t="e">
        <f t="shared" si="25"/>
        <v>#DIV/0!</v>
      </c>
      <c r="T99" s="18" t="e">
        <f t="shared" si="26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>
      <c r="A100" s="35"/>
      <c r="B100" s="35"/>
      <c r="C100" s="35">
        <v>27</v>
      </c>
      <c r="D100" s="17">
        <f>Reference!B98</f>
        <v>0</v>
      </c>
      <c r="E100" s="18">
        <f>Reference!C98</f>
        <v>0</v>
      </c>
      <c r="F100" s="18">
        <f>Reference!D98</f>
        <v>0</v>
      </c>
      <c r="G100" s="18">
        <f>Reference!E98</f>
        <v>0</v>
      </c>
      <c r="H100" s="18">
        <f>Reference!F98</f>
        <v>0</v>
      </c>
      <c r="I100" s="18">
        <f>Reference!G98</f>
        <v>0</v>
      </c>
      <c r="J100" s="19">
        <f t="shared" si="23"/>
        <v>0</v>
      </c>
      <c r="L100" s="17">
        <f>Test!B98</f>
        <v>0</v>
      </c>
      <c r="M100" s="18">
        <f>Test!C98</f>
        <v>0</v>
      </c>
      <c r="N100" s="18">
        <f>Test!D98</f>
        <v>0</v>
      </c>
      <c r="O100" s="18">
        <f>Test!E98</f>
        <v>0</v>
      </c>
      <c r="P100" s="18">
        <f>Test!F98</f>
        <v>0</v>
      </c>
      <c r="Q100" s="18">
        <f>Test!G98</f>
        <v>0</v>
      </c>
      <c r="R100" s="19">
        <f t="shared" si="24"/>
        <v>0</v>
      </c>
      <c r="S100" s="18" t="e">
        <f t="shared" si="25"/>
        <v>#DIV/0!</v>
      </c>
      <c r="T100" s="18" t="e">
        <f t="shared" si="26"/>
        <v>#DIV/0!</v>
      </c>
      <c r="U100" s="59"/>
      <c r="V100" s="42"/>
      <c r="W100" s="25"/>
      <c r="X100" s="25"/>
      <c r="Y100" s="42"/>
      <c r="Z100" s="25"/>
      <c r="AA100" s="54"/>
    </row>
    <row r="101" spans="1:27">
      <c r="A101" s="35"/>
      <c r="B101" s="35"/>
      <c r="C101" s="35">
        <v>32</v>
      </c>
      <c r="D101" s="17">
        <f>Reference!B99</f>
        <v>0</v>
      </c>
      <c r="E101" s="18">
        <f>Reference!C99</f>
        <v>0</v>
      </c>
      <c r="F101" s="18">
        <f>Reference!D99</f>
        <v>0</v>
      </c>
      <c r="G101" s="18">
        <f>Reference!E99</f>
        <v>0</v>
      </c>
      <c r="H101" s="18">
        <f>Reference!F99</f>
        <v>0</v>
      </c>
      <c r="I101" s="18">
        <f>Reference!G99</f>
        <v>0</v>
      </c>
      <c r="J101" s="19">
        <f t="shared" si="23"/>
        <v>0</v>
      </c>
      <c r="L101" s="17">
        <f>Test!B99</f>
        <v>0</v>
      </c>
      <c r="M101" s="18">
        <f>Test!C99</f>
        <v>0</v>
      </c>
      <c r="N101" s="18">
        <f>Test!D99</f>
        <v>0</v>
      </c>
      <c r="O101" s="18">
        <f>Test!E99</f>
        <v>0</v>
      </c>
      <c r="P101" s="18">
        <f>Test!F99</f>
        <v>0</v>
      </c>
      <c r="Q101" s="18">
        <f>Test!G99</f>
        <v>0</v>
      </c>
      <c r="R101" s="19">
        <f t="shared" si="24"/>
        <v>0</v>
      </c>
      <c r="S101" s="18" t="e">
        <f t="shared" si="25"/>
        <v>#DIV/0!</v>
      </c>
      <c r="T101" s="18" t="e">
        <f t="shared" si="26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>
      <c r="A102" s="35"/>
      <c r="B102" s="36"/>
      <c r="C102" s="36">
        <v>37</v>
      </c>
      <c r="D102" s="22">
        <f>Reference!B100</f>
        <v>0</v>
      </c>
      <c r="E102" s="23">
        <f>Reference!C100</f>
        <v>0</v>
      </c>
      <c r="F102" s="23">
        <f>Reference!D100</f>
        <v>0</v>
      </c>
      <c r="G102" s="23">
        <f>Reference!E100</f>
        <v>0</v>
      </c>
      <c r="H102" s="23">
        <f>Reference!F100</f>
        <v>0</v>
      </c>
      <c r="I102" s="23">
        <f>Reference!G100</f>
        <v>0</v>
      </c>
      <c r="J102" s="24">
        <f t="shared" si="23"/>
        <v>0</v>
      </c>
      <c r="L102" s="22">
        <f>Test!B100</f>
        <v>0</v>
      </c>
      <c r="M102" s="23">
        <f>Test!C100</f>
        <v>0</v>
      </c>
      <c r="N102" s="23">
        <f>Test!D100</f>
        <v>0</v>
      </c>
      <c r="O102" s="23">
        <f>Test!E100</f>
        <v>0</v>
      </c>
      <c r="P102" s="23">
        <f>Test!F100</f>
        <v>0</v>
      </c>
      <c r="Q102" s="23">
        <f>Test!G100</f>
        <v>0</v>
      </c>
      <c r="R102" s="24">
        <f t="shared" si="24"/>
        <v>0</v>
      </c>
      <c r="S102" s="18" t="e">
        <f t="shared" si="25"/>
        <v>#DIV/0!</v>
      </c>
      <c r="T102" s="18" t="e">
        <f t="shared" si="26"/>
        <v>#DIV/0!</v>
      </c>
      <c r="U102" s="59"/>
      <c r="V102" s="43"/>
      <c r="W102" s="55"/>
      <c r="X102" s="55"/>
      <c r="Y102" s="43"/>
      <c r="Z102" s="55"/>
      <c r="AA102" s="56"/>
    </row>
    <row r="103" spans="1:27">
      <c r="A103" s="35"/>
      <c r="B103" s="34" t="s">
        <v>65</v>
      </c>
      <c r="C103" s="34">
        <v>22</v>
      </c>
      <c r="D103" s="12">
        <f>Reference!B101</f>
        <v>0</v>
      </c>
      <c r="E103" s="13">
        <f>Reference!C101</f>
        <v>0</v>
      </c>
      <c r="F103" s="13">
        <f>Reference!D101</f>
        <v>0</v>
      </c>
      <c r="G103" s="13">
        <f>Reference!E101</f>
        <v>0</v>
      </c>
      <c r="H103" s="13">
        <f>Reference!F101</f>
        <v>0</v>
      </c>
      <c r="I103" s="13">
        <f>Reference!G101</f>
        <v>0</v>
      </c>
      <c r="J103" s="14">
        <f t="shared" si="23"/>
        <v>0</v>
      </c>
      <c r="L103" s="12">
        <f>Test!B101</f>
        <v>0</v>
      </c>
      <c r="M103" s="13">
        <f>Test!C101</f>
        <v>0</v>
      </c>
      <c r="N103" s="13">
        <f>Test!D101</f>
        <v>0</v>
      </c>
      <c r="O103" s="13">
        <f>Test!E101</f>
        <v>0</v>
      </c>
      <c r="P103" s="13">
        <f>Test!F101</f>
        <v>0</v>
      </c>
      <c r="Q103" s="13">
        <f>Test!G101</f>
        <v>0</v>
      </c>
      <c r="R103" s="14">
        <f t="shared" si="24"/>
        <v>0</v>
      </c>
      <c r="S103" s="18" t="e">
        <f t="shared" si="25"/>
        <v>#DIV/0!</v>
      </c>
      <c r="T103" s="18" t="e">
        <f t="shared" si="26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>
      <c r="A104" s="35"/>
      <c r="B104" s="35"/>
      <c r="C104" s="35">
        <v>27</v>
      </c>
      <c r="D104" s="17">
        <f>Reference!B102</f>
        <v>0</v>
      </c>
      <c r="E104" s="18">
        <f>Reference!C102</f>
        <v>0</v>
      </c>
      <c r="F104" s="18">
        <f>Reference!D102</f>
        <v>0</v>
      </c>
      <c r="G104" s="18">
        <f>Reference!E102</f>
        <v>0</v>
      </c>
      <c r="H104" s="18">
        <f>Reference!F102</f>
        <v>0</v>
      </c>
      <c r="I104" s="18">
        <f>Reference!G102</f>
        <v>0</v>
      </c>
      <c r="J104" s="19">
        <f t="shared" si="23"/>
        <v>0</v>
      </c>
      <c r="L104" s="17">
        <f>Test!B102</f>
        <v>0</v>
      </c>
      <c r="M104" s="18">
        <f>Test!C102</f>
        <v>0</v>
      </c>
      <c r="N104" s="18">
        <f>Test!D102</f>
        <v>0</v>
      </c>
      <c r="O104" s="18">
        <f>Test!E102</f>
        <v>0</v>
      </c>
      <c r="P104" s="18">
        <f>Test!F102</f>
        <v>0</v>
      </c>
      <c r="Q104" s="18">
        <f>Test!G102</f>
        <v>0</v>
      </c>
      <c r="R104" s="19">
        <f t="shared" si="24"/>
        <v>0</v>
      </c>
      <c r="S104" s="18" t="e">
        <f t="shared" si="25"/>
        <v>#DIV/0!</v>
      </c>
      <c r="T104" s="18" t="e">
        <f t="shared" si="26"/>
        <v>#DIV/0!</v>
      </c>
      <c r="U104" s="59"/>
      <c r="V104" s="42"/>
      <c r="W104" s="25"/>
      <c r="X104" s="25"/>
      <c r="Y104" s="42"/>
      <c r="Z104" s="25"/>
      <c r="AA104" s="54"/>
    </row>
    <row r="105" spans="1:27">
      <c r="A105" s="35"/>
      <c r="B105" s="35"/>
      <c r="C105" s="35">
        <v>32</v>
      </c>
      <c r="D105" s="17">
        <f>Reference!B103</f>
        <v>0</v>
      </c>
      <c r="E105" s="18">
        <f>Reference!C103</f>
        <v>0</v>
      </c>
      <c r="F105" s="18">
        <f>Reference!D103</f>
        <v>0</v>
      </c>
      <c r="G105" s="18">
        <f>Reference!E103</f>
        <v>0</v>
      </c>
      <c r="H105" s="18">
        <f>Reference!F103</f>
        <v>0</v>
      </c>
      <c r="I105" s="18">
        <f>Reference!G103</f>
        <v>0</v>
      </c>
      <c r="J105" s="19">
        <f t="shared" si="23"/>
        <v>0</v>
      </c>
      <c r="L105" s="17">
        <f>Test!B103</f>
        <v>0</v>
      </c>
      <c r="M105" s="18">
        <f>Test!C103</f>
        <v>0</v>
      </c>
      <c r="N105" s="18">
        <f>Test!D103</f>
        <v>0</v>
      </c>
      <c r="O105" s="18">
        <f>Test!E103</f>
        <v>0</v>
      </c>
      <c r="P105" s="18">
        <f>Test!F103</f>
        <v>0</v>
      </c>
      <c r="Q105" s="18">
        <f>Test!G103</f>
        <v>0</v>
      </c>
      <c r="R105" s="19">
        <f t="shared" si="24"/>
        <v>0</v>
      </c>
      <c r="S105" s="18" t="e">
        <f t="shared" si="25"/>
        <v>#DIV/0!</v>
      </c>
      <c r="T105" s="18" t="e">
        <f t="shared" si="26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>
      <c r="A106" s="36"/>
      <c r="B106" s="36"/>
      <c r="C106" s="36">
        <v>37</v>
      </c>
      <c r="D106" s="22">
        <f>Reference!B104</f>
        <v>0</v>
      </c>
      <c r="E106" s="23">
        <f>Reference!C104</f>
        <v>0</v>
      </c>
      <c r="F106" s="23">
        <f>Reference!D104</f>
        <v>0</v>
      </c>
      <c r="G106" s="23">
        <f>Reference!E104</f>
        <v>0</v>
      </c>
      <c r="H106" s="23">
        <f>Reference!F104</f>
        <v>0</v>
      </c>
      <c r="I106" s="23">
        <f>Reference!G104</f>
        <v>0</v>
      </c>
      <c r="J106" s="24">
        <f t="shared" si="23"/>
        <v>0</v>
      </c>
      <c r="L106" s="22">
        <f>Test!B104</f>
        <v>0</v>
      </c>
      <c r="M106" s="23">
        <f>Test!C104</f>
        <v>0</v>
      </c>
      <c r="N106" s="23">
        <f>Test!D104</f>
        <v>0</v>
      </c>
      <c r="O106" s="23">
        <f>Test!E104</f>
        <v>0</v>
      </c>
      <c r="P106" s="23">
        <f>Test!F104</f>
        <v>0</v>
      </c>
      <c r="Q106" s="23">
        <f>Test!G104</f>
        <v>0</v>
      </c>
      <c r="R106" s="24">
        <f t="shared" si="24"/>
        <v>0</v>
      </c>
      <c r="S106" s="23" t="e">
        <f t="shared" si="25"/>
        <v>#DIV/0!</v>
      </c>
      <c r="T106" s="23" t="e">
        <f t="shared" si="26"/>
        <v>#DIV/0!</v>
      </c>
      <c r="U106" s="60"/>
      <c r="V106" s="43"/>
      <c r="W106" s="55"/>
      <c r="X106" s="55"/>
      <c r="Y106" s="43"/>
      <c r="Z106" s="55"/>
      <c r="AA106" s="56"/>
    </row>
    <row r="107" spans="1:27">
      <c r="B107" s="1" t="s">
        <v>72</v>
      </c>
      <c r="I107" s="15">
        <f>GEOMEAN(I3:I14)</f>
        <v>24.872614548379786</v>
      </c>
      <c r="J107" s="15">
        <f>GEOMEAN(J3:J14)</f>
        <v>7.6982909387527449</v>
      </c>
      <c r="Q107" s="15">
        <f>GEOMEAN(Q3:Q14)</f>
        <v>35.609545919503439</v>
      </c>
      <c r="R107" s="15">
        <f>GEOMEAN(R3:R14)</f>
        <v>16.560733611385231</v>
      </c>
      <c r="S107" s="15">
        <f>GEOMEAN(S3:S14)</f>
        <v>2.1512221015211921</v>
      </c>
      <c r="T107" s="15">
        <f>GEOMEAN(T3:T14)</f>
        <v>1.4316768287563502</v>
      </c>
      <c r="V107" s="41">
        <f t="shared" ref="V107:AA107" si="27">AVERAGE(V3:V14)</f>
        <v>-2.967502050498198E-2</v>
      </c>
      <c r="W107" s="46">
        <f t="shared" si="27"/>
        <v>-1.5599452141218087E-2</v>
      </c>
      <c r="X107" s="46">
        <f t="shared" si="27"/>
        <v>-1.446549950953202E-2</v>
      </c>
      <c r="Y107" s="41">
        <f t="shared" si="27"/>
        <v>-2.9596452942063034E-2</v>
      </c>
      <c r="Z107" s="46">
        <f t="shared" si="27"/>
        <v>-1.5463086714121407E-2</v>
      </c>
      <c r="AA107" s="47">
        <f t="shared" si="27"/>
        <v>-1.4581387931669262E-2</v>
      </c>
    </row>
    <row r="108" spans="1:27">
      <c r="B108" s="1" t="s">
        <v>73</v>
      </c>
      <c r="I108" s="15">
        <f>GEOMEAN(I15:I26)</f>
        <v>28.608837726159003</v>
      </c>
      <c r="J108" s="15">
        <f>GEOMEAN(J15:J26)</f>
        <v>8.6656783480724027</v>
      </c>
      <c r="Q108" s="15">
        <f>GEOMEAN(Q15:Q26)</f>
        <v>39.414762768510286</v>
      </c>
      <c r="R108" s="15">
        <f>GEOMEAN(R15:R26)</f>
        <v>18.323813920886312</v>
      </c>
      <c r="S108" s="15">
        <f>GEOMEAN(S15:S26)</f>
        <v>2.1145273554911337</v>
      </c>
      <c r="T108" s="15">
        <f>GEOMEAN(T15:T26)</f>
        <v>1.3777128293635883</v>
      </c>
      <c r="V108" s="44">
        <f t="shared" ref="V108:AA108" si="28">AVERAGE(V15:V26)</f>
        <v>-2.6389161207695005E-2</v>
      </c>
      <c r="W108" s="48">
        <f t="shared" si="28"/>
        <v>-1.6339981266286812E-2</v>
      </c>
      <c r="X108" s="48">
        <f t="shared" si="28"/>
        <v>-1.6017862922260706E-2</v>
      </c>
      <c r="Y108" s="44">
        <f t="shared" si="28"/>
        <v>-2.4733934212594288E-2</v>
      </c>
      <c r="Z108" s="48">
        <f t="shared" si="28"/>
        <v>-1.6255642303719935E-2</v>
      </c>
      <c r="AA108" s="49">
        <f t="shared" si="28"/>
        <v>-1.5972961126951939E-2</v>
      </c>
    </row>
    <row r="109" spans="1:27">
      <c r="B109" s="1" t="s">
        <v>1</v>
      </c>
      <c r="I109" s="15">
        <f>GEOMEAN(I27:I46)</f>
        <v>24.021308186940473</v>
      </c>
      <c r="J109" s="15">
        <f>GEOMEAN(J27:J46)</f>
        <v>5.3255650348048889</v>
      </c>
      <c r="Q109" s="15">
        <f>GEOMEAN(Q27:Q46)</f>
        <v>31.231303224304789</v>
      </c>
      <c r="R109" s="15">
        <f>GEOMEAN(R27:R46)</f>
        <v>11.584444933934325</v>
      </c>
      <c r="S109" s="15">
        <f t="shared" ref="S109:T109" si="29">GEOMEAN(S27:S46)</f>
        <v>2.1752518011187409</v>
      </c>
      <c r="T109" s="15">
        <f t="shared" si="29"/>
        <v>1.3001499743999843</v>
      </c>
      <c r="V109" s="44">
        <f>AVERAGE(V27:V46)</f>
        <v>-2.7761056408309726E-2</v>
      </c>
      <c r="W109" s="48">
        <f t="shared" ref="W109:AA109" si="30">AVERAGE(W27:W46)</f>
        <v>-1.4758931423960453E-2</v>
      </c>
      <c r="X109" s="48">
        <f t="shared" si="30"/>
        <v>-1.4467164934157584E-2</v>
      </c>
      <c r="Y109" s="44">
        <f t="shared" si="30"/>
        <v>-2.7616335163866457E-2</v>
      </c>
      <c r="Z109" s="48">
        <f t="shared" si="30"/>
        <v>-1.4840697344689758E-2</v>
      </c>
      <c r="AA109" s="49">
        <f t="shared" si="30"/>
        <v>-1.4406329099131688E-2</v>
      </c>
    </row>
    <row r="110" spans="1:27">
      <c r="B110" s="1" t="s">
        <v>5</v>
      </c>
      <c r="I110" s="15">
        <f>GEOMEAN(I47:I62)</f>
        <v>2.8878206118365273</v>
      </c>
      <c r="J110" s="15">
        <f>GEOMEAN(J47:J62)</f>
        <v>0.59321222951475294</v>
      </c>
      <c r="Q110" s="15">
        <f>GEOMEAN(Q47:Q62)</f>
        <v>3.2698324291317999</v>
      </c>
      <c r="R110" s="15">
        <f>GEOMEAN(R47:R62)</f>
        <v>1.2463915090357334</v>
      </c>
      <c r="S110" s="15">
        <f t="shared" ref="S110:T110" si="31">GEOMEAN(S47:S62)</f>
        <v>2.1010886947750227</v>
      </c>
      <c r="T110" s="15">
        <f t="shared" si="31"/>
        <v>1.1322837768140763</v>
      </c>
      <c r="V110" s="44">
        <f>AVERAGE(V47:V62)</f>
        <v>-2.1059774633232192E-2</v>
      </c>
      <c r="W110" s="48">
        <f t="shared" ref="W110:AA110" si="32">AVERAGE(W47:W62)</f>
        <v>-1.0156890126258034E-2</v>
      </c>
      <c r="X110" s="48">
        <f t="shared" si="32"/>
        <v>-1.221623879096137E-2</v>
      </c>
      <c r="Y110" s="44">
        <f t="shared" si="32"/>
        <v>-2.1061797242759528E-2</v>
      </c>
      <c r="Z110" s="48">
        <f t="shared" si="32"/>
        <v>-1.0145157185915743E-2</v>
      </c>
      <c r="AA110" s="49">
        <f t="shared" si="32"/>
        <v>-1.192535168441089E-2</v>
      </c>
    </row>
    <row r="111" spans="1:27">
      <c r="B111" s="1" t="s">
        <v>6</v>
      </c>
      <c r="I111" s="15">
        <f>GEOMEAN(I63:I78)</f>
        <v>0.82867506455983042</v>
      </c>
      <c r="J111" s="15">
        <f>GEOMEAN(J63:J78)</f>
        <v>0.17293332836099753</v>
      </c>
      <c r="Q111" s="15">
        <f>GEOMEAN(Q63:Q78)</f>
        <v>1.0074634438711174</v>
      </c>
      <c r="R111" s="15">
        <f>GEOMEAN(R63:R78)</f>
        <v>0.36337401153478704</v>
      </c>
      <c r="S111" s="15">
        <f t="shared" ref="S111:T111" si="33">GEOMEAN(S63:S78)</f>
        <v>2.1012375982045839</v>
      </c>
      <c r="T111" s="15">
        <f t="shared" si="33"/>
        <v>1.2157520926567935</v>
      </c>
      <c r="V111" s="44">
        <f>AVERAGE(V63:V78)</f>
        <v>-2.0033471619508358E-2</v>
      </c>
      <c r="W111" s="48">
        <f t="shared" ref="W111:AA111" si="34">AVERAGE(W63:W78)</f>
        <v>-7.9377537837191092E-3</v>
      </c>
      <c r="X111" s="48">
        <f t="shared" si="34"/>
        <v>-7.7165186579377376E-3</v>
      </c>
      <c r="Y111" s="44">
        <f t="shared" si="34"/>
        <v>-2.0008459148759872E-2</v>
      </c>
      <c r="Z111" s="48">
        <f t="shared" si="34"/>
        <v>-8.1960638530019503E-3</v>
      </c>
      <c r="AA111" s="49">
        <f t="shared" si="34"/>
        <v>-7.6854446054634151E-3</v>
      </c>
    </row>
    <row r="112" spans="1:27">
      <c r="B112" s="1" t="s">
        <v>7</v>
      </c>
      <c r="I112" s="15">
        <f>GEOMEAN(I79:I90)</f>
        <v>5.2839823124142482</v>
      </c>
      <c r="J112" s="15">
        <f>GEOMEAN(J79:J90)</f>
        <v>1.1352485680420636</v>
      </c>
      <c r="Q112" s="15">
        <f>GEOMEAN(Q79:Q90)</f>
        <v>7.2932715868110094</v>
      </c>
      <c r="R112" s="15">
        <f>GEOMEAN(R79:R90)</f>
        <v>2.3620440922742794</v>
      </c>
      <c r="S112" s="15">
        <f t="shared" ref="S112:T112" si="35">GEOMEAN(S79:S90)</f>
        <v>2.0806404507059111</v>
      </c>
      <c r="T112" s="15">
        <f t="shared" si="35"/>
        <v>1.380260408835229</v>
      </c>
      <c r="V112" s="44">
        <f>AVERAGE(V79:V88)</f>
        <v>-3.3044970381082596E-2</v>
      </c>
      <c r="W112" s="48">
        <f t="shared" ref="W112:AA112" si="36">AVERAGE(W79:W88)</f>
        <v>-2.1770586630507016E-2</v>
      </c>
      <c r="X112" s="48">
        <f t="shared" si="36"/>
        <v>-2.2563240393899786E-2</v>
      </c>
      <c r="Y112" s="44">
        <f t="shared" si="36"/>
        <v>-3.302646264035488E-2</v>
      </c>
      <c r="Z112" s="48">
        <f t="shared" si="36"/>
        <v>-2.1848727992711019E-2</v>
      </c>
      <c r="AA112" s="49">
        <f t="shared" si="36"/>
        <v>-2.2404784150476049E-2</v>
      </c>
    </row>
    <row r="113" spans="1:27" ht="12.75" thickBot="1">
      <c r="B113" s="1" t="s">
        <v>44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7">GEOMEAN(S91:S106)</f>
        <v>#DIV/0!</v>
      </c>
      <c r="T113" s="15" t="e">
        <f t="shared" si="37"/>
        <v>#DIV/0!</v>
      </c>
      <c r="V113" s="44" t="e">
        <f>AVERAGE(V91:V106)</f>
        <v>#VALUE!</v>
      </c>
      <c r="W113" s="48" t="e">
        <f t="shared" ref="W113:AA113" si="38">AVERAGE(W91:W106)</f>
        <v>#VALUE!</v>
      </c>
      <c r="X113" s="48" t="e">
        <f t="shared" si="38"/>
        <v>#VALUE!</v>
      </c>
      <c r="Y113" s="44" t="e">
        <f t="shared" si="38"/>
        <v>#VALUE!</v>
      </c>
      <c r="Z113" s="48" t="e">
        <f t="shared" si="38"/>
        <v>#VALUE!</v>
      </c>
      <c r="AA113" s="49" t="e">
        <f t="shared" si="38"/>
        <v>#VALUE!</v>
      </c>
    </row>
    <row r="114" spans="1:27" ht="12.75" thickBot="1">
      <c r="A114" s="3"/>
      <c r="B114" s="4" t="s">
        <v>8</v>
      </c>
      <c r="C114" s="4"/>
      <c r="D114" s="4"/>
      <c r="E114" s="4"/>
      <c r="F114" s="4"/>
      <c r="G114" s="4"/>
      <c r="H114" s="4"/>
      <c r="I114" s="61">
        <f>GEOMEAN(I3:I62, I79:I90)</f>
        <v>12.07012705566677</v>
      </c>
      <c r="J114" s="61">
        <f>GEOMEAN(J3:J62,J79:J90)</f>
        <v>2.9146414225303841</v>
      </c>
      <c r="K114" s="4"/>
      <c r="L114" s="4"/>
      <c r="M114" s="4"/>
      <c r="N114" s="4"/>
      <c r="O114" s="4"/>
      <c r="P114" s="4"/>
      <c r="Q114" s="61">
        <f>GEOMEAN(Q3:Q62,Q79:Q90)</f>
        <v>15.771059649060621</v>
      </c>
      <c r="R114" s="61">
        <f>GEOMEAN(R3:R62,R79:R90)</f>
        <v>6.2040414301047893</v>
      </c>
      <c r="S114" s="61">
        <f>GEOMEAN(S3:S62,S79:S90)</f>
        <v>2.1285779383175956</v>
      </c>
      <c r="T114" s="61">
        <f>GEOMEAN(T3:T62,T79:T90)</f>
        <v>1.3066191910263538</v>
      </c>
      <c r="U114" s="4"/>
      <c r="V114" s="45">
        <f>AVERAGE(V3:V62,V79:V90)</f>
        <v>-2.7242879825319786E-2</v>
      </c>
      <c r="W114" s="50">
        <f t="shared" ref="W114:AA114" si="39">AVERAGE(W3:W62,W79:W90)</f>
        <v>-1.5308459874381675E-2</v>
      </c>
      <c r="X114" s="50">
        <f t="shared" si="39"/>
        <v>-1.5574477128428386E-2</v>
      </c>
      <c r="Y114" s="45">
        <f>AVERAGE(Y3:Y62,Y79:Y90)</f>
        <v>-2.6911078565300388E-2</v>
      </c>
      <c r="Z114" s="50">
        <f t="shared" si="39"/>
        <v>-1.5304804805487158E-2</v>
      </c>
      <c r="AA114" s="51">
        <f t="shared" si="39"/>
        <v>-1.5478358436699653E-2</v>
      </c>
    </row>
    <row r="115" spans="1:27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>
      <c r="B117" s="1" t="s">
        <v>11</v>
      </c>
      <c r="I117" s="26"/>
      <c r="J117" s="26"/>
      <c r="Q117" s="26"/>
      <c r="R117" s="26"/>
      <c r="S117" s="26"/>
      <c r="T117" s="26"/>
    </row>
    <row r="118" spans="1:27">
      <c r="V118" s="39">
        <f>AVERAGE(V3,V15,V35,V39,V47,V51,V63,V67,V71,V75,V79)</f>
        <v>-2.5002248259715996E-2</v>
      </c>
      <c r="W118" s="39">
        <f t="shared" ref="W118:X118" si="40">AVERAGE(W3,W15,W35,W39,W47,W51,W63,W67,W71,W75,W79)</f>
        <v>-1.3008511533378442E-2</v>
      </c>
      <c r="X118" s="39">
        <f t="shared" si="40"/>
        <v>-1.3131568168344781E-2</v>
      </c>
    </row>
    <row r="119" spans="1:27">
      <c r="B119" s="1" t="s">
        <v>524</v>
      </c>
      <c r="V119" s="39">
        <f>AVERAGE(V3,V15,V35,V39,V47,V51,V79)</f>
        <v>-2.7841549196977504E-2</v>
      </c>
      <c r="W119" s="39">
        <f t="shared" ref="W119:X119" si="41">AVERAGE(W3,W15,W35,W39,W47,W51,W79)</f>
        <v>-1.5906087390326635E-2</v>
      </c>
      <c r="X119" s="39">
        <f t="shared" si="41"/>
        <v>-1.6225882174291661E-2</v>
      </c>
    </row>
    <row r="120" spans="1:27">
      <c r="V120" s="39">
        <f>AVERAGE(V7,V11,V19,V23,V27,V31,V43,V55,V59,V83,V87)</f>
        <v>-2.6861908406992149E-2</v>
      </c>
      <c r="W120" s="39">
        <f t="shared" ref="W120:X120" si="42">AVERAGE(W7,W11,W19,W23,W27,W31,W43,W55,W59,W83,W87)</f>
        <v>-1.4928151455143973E-2</v>
      </c>
      <c r="X120" s="39">
        <f t="shared" si="42"/>
        <v>-1.5159946644697209E-2</v>
      </c>
    </row>
  </sheetData>
  <mergeCells count="4">
    <mergeCell ref="D1:J1"/>
    <mergeCell ref="L1:R1"/>
    <mergeCell ref="V1:X1"/>
    <mergeCell ref="Y1:AA1"/>
  </mergeCells>
  <conditionalFormatting sqref="Y11">
    <cfRule type="cellIs" dxfId="1195" priority="1163" operator="greaterThan">
      <formula>0.03</formula>
    </cfRule>
    <cfRule type="cellIs" dxfId="1194" priority="1164" stopIfTrue="1" operator="lessThan">
      <formula>-0.03</formula>
    </cfRule>
  </conditionalFormatting>
  <conditionalFormatting sqref="V3:X14">
    <cfRule type="cellIs" dxfId="1193" priority="1177" operator="greaterThan">
      <formula>0.03</formula>
    </cfRule>
    <cfRule type="cellIs" dxfId="1192" priority="1178" stopIfTrue="1" operator="lessThan">
      <formula>-0.03</formula>
    </cfRule>
  </conditionalFormatting>
  <conditionalFormatting sqref="Y3">
    <cfRule type="cellIs" dxfId="1191" priority="1175" operator="greaterThan">
      <formula>0.03</formula>
    </cfRule>
    <cfRule type="cellIs" dxfId="1190" priority="1176" stopIfTrue="1" operator="lessThan">
      <formula>-0.03</formula>
    </cfRule>
  </conditionalFormatting>
  <conditionalFormatting sqref="Z3">
    <cfRule type="cellIs" dxfId="1189" priority="1173" operator="greaterThan">
      <formula>0.03</formula>
    </cfRule>
    <cfRule type="cellIs" dxfId="1188" priority="1174" stopIfTrue="1" operator="lessThan">
      <formula>-0.03</formula>
    </cfRule>
  </conditionalFormatting>
  <conditionalFormatting sqref="AA3">
    <cfRule type="cellIs" dxfId="1187" priority="1171" operator="greaterThan">
      <formula>0.03</formula>
    </cfRule>
    <cfRule type="cellIs" dxfId="1186" priority="1172" stopIfTrue="1" operator="lessThan">
      <formula>-0.03</formula>
    </cfRule>
  </conditionalFormatting>
  <conditionalFormatting sqref="Y7">
    <cfRule type="cellIs" dxfId="1185" priority="1169" operator="greaterThan">
      <formula>0.03</formula>
    </cfRule>
    <cfRule type="cellIs" dxfId="1184" priority="1170" stopIfTrue="1" operator="lessThan">
      <formula>-0.03</formula>
    </cfRule>
  </conditionalFormatting>
  <conditionalFormatting sqref="Z7">
    <cfRule type="cellIs" dxfId="1183" priority="1167" operator="greaterThan">
      <formula>0.03</formula>
    </cfRule>
    <cfRule type="cellIs" dxfId="1182" priority="1168" stopIfTrue="1" operator="lessThan">
      <formula>-0.03</formula>
    </cfRule>
  </conditionalFormatting>
  <conditionalFormatting sqref="AA7">
    <cfRule type="cellIs" dxfId="1181" priority="1165" operator="greaterThan">
      <formula>0.03</formula>
    </cfRule>
    <cfRule type="cellIs" dxfId="1180" priority="1166" stopIfTrue="1" operator="lessThan">
      <formula>-0.03</formula>
    </cfRule>
  </conditionalFormatting>
  <conditionalFormatting sqref="Z11">
    <cfRule type="cellIs" dxfId="1179" priority="1161" operator="greaterThan">
      <formula>0.03</formula>
    </cfRule>
    <cfRule type="cellIs" dxfId="1178" priority="1162" stopIfTrue="1" operator="lessThan">
      <formula>-0.03</formula>
    </cfRule>
  </conditionalFormatting>
  <conditionalFormatting sqref="AA11">
    <cfRule type="cellIs" dxfId="1177" priority="1159" operator="greaterThan">
      <formula>0.03</formula>
    </cfRule>
    <cfRule type="cellIs" dxfId="1176" priority="1160" stopIfTrue="1" operator="lessThan">
      <formula>-0.03</formula>
    </cfRule>
  </conditionalFormatting>
  <conditionalFormatting sqref="Y14:Z14">
    <cfRule type="cellIs" dxfId="1175" priority="1087" operator="greaterThan">
      <formula>0.03</formula>
    </cfRule>
    <cfRule type="cellIs" dxfId="1174" priority="1088" stopIfTrue="1" operator="lessThan">
      <formula>-0.03</formula>
    </cfRule>
  </conditionalFormatting>
  <conditionalFormatting sqref="Y6:Z6">
    <cfRule type="cellIs" dxfId="1173" priority="1091" operator="greaterThan">
      <formula>0.03</formula>
    </cfRule>
    <cfRule type="cellIs" dxfId="1172" priority="1092" stopIfTrue="1" operator="lessThan">
      <formula>-0.03</formula>
    </cfRule>
  </conditionalFormatting>
  <conditionalFormatting sqref="Y10:Z10">
    <cfRule type="cellIs" dxfId="1171" priority="1089" operator="greaterThan">
      <formula>0.03</formula>
    </cfRule>
    <cfRule type="cellIs" dxfId="1170" priority="1090" stopIfTrue="1" operator="lessThan">
      <formula>-0.03</formula>
    </cfRule>
  </conditionalFormatting>
  <conditionalFormatting sqref="V110:AA110">
    <cfRule type="cellIs" dxfId="1169" priority="555" operator="greaterThan">
      <formula>0.03</formula>
    </cfRule>
    <cfRule type="cellIs" dxfId="1168" priority="556" stopIfTrue="1" operator="lessThan">
      <formula>-0.03</formula>
    </cfRule>
  </conditionalFormatting>
  <conditionalFormatting sqref="Y94:Z94">
    <cfRule type="cellIs" dxfId="1167" priority="103" operator="greaterThan">
      <formula>0.03</formula>
    </cfRule>
    <cfRule type="cellIs" dxfId="1166" priority="104" stopIfTrue="1" operator="lessThan">
      <formula>-0.03</formula>
    </cfRule>
  </conditionalFormatting>
  <conditionalFormatting sqref="V113:AA113">
    <cfRule type="cellIs" dxfId="1165" priority="553" operator="greaterThan">
      <formula>0.03</formula>
    </cfRule>
    <cfRule type="cellIs" dxfId="1164" priority="554" stopIfTrue="1" operator="lessThan">
      <formula>-0.03</formula>
    </cfRule>
  </conditionalFormatting>
  <conditionalFormatting sqref="V114:AA114">
    <cfRule type="cellIs" dxfId="1163" priority="561" operator="greaterThan">
      <formula>0.03</formula>
    </cfRule>
    <cfRule type="cellIs" dxfId="1162" priority="562" stopIfTrue="1" operator="lessThan">
      <formula>-0.03</formula>
    </cfRule>
  </conditionalFormatting>
  <conditionalFormatting sqref="V107:AA107 V109:AA109">
    <cfRule type="cellIs" dxfId="1161" priority="557" operator="greaterThan">
      <formula>0.03</formula>
    </cfRule>
    <cfRule type="cellIs" dxfId="1160" priority="558" stopIfTrue="1" operator="lessThan">
      <formula>-0.03</formula>
    </cfRule>
  </conditionalFormatting>
  <conditionalFormatting sqref="V111:AA112">
    <cfRule type="cellIs" dxfId="1159" priority="559" operator="greaterThan">
      <formula>0.03</formula>
    </cfRule>
    <cfRule type="cellIs" dxfId="1158" priority="560" stopIfTrue="1" operator="lessThan">
      <formula>-0.03</formula>
    </cfRule>
  </conditionalFormatting>
  <conditionalFormatting sqref="Z103">
    <cfRule type="cellIs" dxfId="1157" priority="107" operator="greaterThan">
      <formula>0.03</formula>
    </cfRule>
    <cfRule type="cellIs" dxfId="1156" priority="108" stopIfTrue="1" operator="lessThan">
      <formula>-0.03</formula>
    </cfRule>
  </conditionalFormatting>
  <conditionalFormatting sqref="Y103">
    <cfRule type="cellIs" dxfId="1155" priority="109" operator="greaterThan">
      <formula>0.03</formula>
    </cfRule>
    <cfRule type="cellIs" dxfId="1154" priority="110" stopIfTrue="1" operator="lessThan">
      <formula>-0.03</formula>
    </cfRule>
  </conditionalFormatting>
  <conditionalFormatting sqref="AA103">
    <cfRule type="cellIs" dxfId="1153" priority="105" operator="greaterThan">
      <formula>0.03</formula>
    </cfRule>
    <cfRule type="cellIs" dxfId="1152" priority="106" stopIfTrue="1" operator="lessThan">
      <formula>-0.03</formula>
    </cfRule>
  </conditionalFormatting>
  <conditionalFormatting sqref="V79:X90">
    <cfRule type="cellIs" dxfId="1151" priority="55" operator="greaterThan">
      <formula>0.03</formula>
    </cfRule>
    <cfRule type="cellIs" dxfId="1150" priority="56" stopIfTrue="1" operator="lessThan">
      <formula>-0.03</formula>
    </cfRule>
  </conditionalFormatting>
  <conditionalFormatting sqref="Y79">
    <cfRule type="cellIs" dxfId="1149" priority="53" operator="greaterThan">
      <formula>0.03</formula>
    </cfRule>
    <cfRule type="cellIs" dxfId="1148" priority="54" stopIfTrue="1" operator="lessThan">
      <formula>-0.03</formula>
    </cfRule>
  </conditionalFormatting>
  <conditionalFormatting sqref="Z87">
    <cfRule type="cellIs" dxfId="1147" priority="39" operator="greaterThan">
      <formula>0.03</formula>
    </cfRule>
    <cfRule type="cellIs" dxfId="1146" priority="40" stopIfTrue="1" operator="lessThan">
      <formula>-0.03</formula>
    </cfRule>
  </conditionalFormatting>
  <conditionalFormatting sqref="Z79">
    <cfRule type="cellIs" dxfId="1145" priority="51" operator="greaterThan">
      <formula>0.03</formula>
    </cfRule>
    <cfRule type="cellIs" dxfId="1144" priority="52" stopIfTrue="1" operator="lessThan">
      <formula>-0.03</formula>
    </cfRule>
  </conditionalFormatting>
  <conditionalFormatting sqref="Y86:Z86">
    <cfRule type="cellIs" dxfId="1143" priority="33" operator="greaterThan">
      <formula>0.03</formula>
    </cfRule>
    <cfRule type="cellIs" dxfId="1142" priority="34" stopIfTrue="1" operator="lessThan">
      <formula>-0.03</formula>
    </cfRule>
  </conditionalFormatting>
  <conditionalFormatting sqref="Y87">
    <cfRule type="cellIs" dxfId="1141" priority="41" operator="greaterThan">
      <formula>0.03</formula>
    </cfRule>
    <cfRule type="cellIs" dxfId="1140" priority="42" stopIfTrue="1" operator="lessThan">
      <formula>-0.03</formula>
    </cfRule>
  </conditionalFormatting>
  <conditionalFormatting sqref="AA79">
    <cfRule type="cellIs" dxfId="1139" priority="49" operator="greaterThan">
      <formula>0.03</formula>
    </cfRule>
    <cfRule type="cellIs" dxfId="1138" priority="50" stopIfTrue="1" operator="lessThan">
      <formula>-0.03</formula>
    </cfRule>
  </conditionalFormatting>
  <conditionalFormatting sqref="AA83">
    <cfRule type="cellIs" dxfId="1137" priority="43" operator="greaterThan">
      <formula>0.03</formula>
    </cfRule>
    <cfRule type="cellIs" dxfId="1136" priority="44" stopIfTrue="1" operator="lessThan">
      <formula>-0.03</formula>
    </cfRule>
  </conditionalFormatting>
  <conditionalFormatting sqref="Y82:Z82">
    <cfRule type="cellIs" dxfId="1135" priority="35" operator="greaterThan">
      <formula>0.03</formula>
    </cfRule>
    <cfRule type="cellIs" dxfId="1134" priority="36" stopIfTrue="1" operator="lessThan">
      <formula>-0.03</formula>
    </cfRule>
  </conditionalFormatting>
  <conditionalFormatting sqref="Y90:Z90">
    <cfRule type="cellIs" dxfId="1133" priority="31" operator="greaterThan">
      <formula>0.03</formula>
    </cfRule>
    <cfRule type="cellIs" dxfId="1132" priority="32" stopIfTrue="1" operator="lessThan">
      <formula>-0.03</formula>
    </cfRule>
  </conditionalFormatting>
  <conditionalFormatting sqref="Y83">
    <cfRule type="cellIs" dxfId="1131" priority="47" operator="greaterThan">
      <formula>0.03</formula>
    </cfRule>
    <cfRule type="cellIs" dxfId="1130" priority="48" stopIfTrue="1" operator="lessThan">
      <formula>-0.03</formula>
    </cfRule>
  </conditionalFormatting>
  <conditionalFormatting sqref="Z83">
    <cfRule type="cellIs" dxfId="1129" priority="45" operator="greaterThan">
      <formula>0.03</formula>
    </cfRule>
    <cfRule type="cellIs" dxfId="1128" priority="46" stopIfTrue="1" operator="lessThan">
      <formula>-0.03</formula>
    </cfRule>
  </conditionalFormatting>
  <conditionalFormatting sqref="AA87">
    <cfRule type="cellIs" dxfId="1127" priority="37" operator="greaterThan">
      <formula>0.03</formula>
    </cfRule>
    <cfRule type="cellIs" dxfId="1126" priority="38" stopIfTrue="1" operator="lessThan">
      <formula>-0.03</formula>
    </cfRule>
  </conditionalFormatting>
  <conditionalFormatting sqref="V108:AA108">
    <cfRule type="cellIs" dxfId="1125" priority="463" operator="greaterThan">
      <formula>0.03</formula>
    </cfRule>
    <cfRule type="cellIs" dxfId="1124" priority="464" stopIfTrue="1" operator="lessThan">
      <formula>-0.03</formula>
    </cfRule>
  </conditionalFormatting>
  <conditionalFormatting sqref="Y23">
    <cfRule type="cellIs" dxfId="1123" priority="433" operator="greaterThan">
      <formula>0.03</formula>
    </cfRule>
    <cfRule type="cellIs" dxfId="1122" priority="434" stopIfTrue="1" operator="lessThan">
      <formula>-0.03</formula>
    </cfRule>
  </conditionalFormatting>
  <conditionalFormatting sqref="V15:X26">
    <cfRule type="cellIs" dxfId="1121" priority="447" operator="greaterThan">
      <formula>0.03</formula>
    </cfRule>
    <cfRule type="cellIs" dxfId="1120" priority="448" stopIfTrue="1" operator="lessThan">
      <formula>-0.03</formula>
    </cfRule>
  </conditionalFormatting>
  <conditionalFormatting sqref="Y15">
    <cfRule type="cellIs" dxfId="1119" priority="445" operator="greaterThan">
      <formula>0.03</formula>
    </cfRule>
    <cfRule type="cellIs" dxfId="1118" priority="446" stopIfTrue="1" operator="lessThan">
      <formula>-0.03</formula>
    </cfRule>
  </conditionalFormatting>
  <conditionalFormatting sqref="Z15">
    <cfRule type="cellIs" dxfId="1117" priority="443" operator="greaterThan">
      <formula>0.03</formula>
    </cfRule>
    <cfRule type="cellIs" dxfId="1116" priority="444" stopIfTrue="1" operator="lessThan">
      <formula>-0.03</formula>
    </cfRule>
  </conditionalFormatting>
  <conditionalFormatting sqref="AA15">
    <cfRule type="cellIs" dxfId="1115" priority="441" operator="greaterThan">
      <formula>0.03</formula>
    </cfRule>
    <cfRule type="cellIs" dxfId="1114" priority="442" stopIfTrue="1" operator="lessThan">
      <formula>-0.03</formula>
    </cfRule>
  </conditionalFormatting>
  <conditionalFormatting sqref="Y19">
    <cfRule type="cellIs" dxfId="1113" priority="439" operator="greaterThan">
      <formula>0.03</formula>
    </cfRule>
    <cfRule type="cellIs" dxfId="1112" priority="440" stopIfTrue="1" operator="lessThan">
      <formula>-0.03</formula>
    </cfRule>
  </conditionalFormatting>
  <conditionalFormatting sqref="Z19">
    <cfRule type="cellIs" dxfId="1111" priority="437" operator="greaterThan">
      <formula>0.03</formula>
    </cfRule>
    <cfRule type="cellIs" dxfId="1110" priority="438" stopIfTrue="1" operator="lessThan">
      <formula>-0.03</formula>
    </cfRule>
  </conditionalFormatting>
  <conditionalFormatting sqref="AA19">
    <cfRule type="cellIs" dxfId="1109" priority="435" operator="greaterThan">
      <formula>0.03</formula>
    </cfRule>
    <cfRule type="cellIs" dxfId="1108" priority="436" stopIfTrue="1" operator="lessThan">
      <formula>-0.03</formula>
    </cfRule>
  </conditionalFormatting>
  <conditionalFormatting sqref="Z23">
    <cfRule type="cellIs" dxfId="1107" priority="431" operator="greaterThan">
      <formula>0.03</formula>
    </cfRule>
    <cfRule type="cellIs" dxfId="1106" priority="432" stopIfTrue="1" operator="lessThan">
      <formula>-0.03</formula>
    </cfRule>
  </conditionalFormatting>
  <conditionalFormatting sqref="AA23">
    <cfRule type="cellIs" dxfId="1105" priority="429" operator="greaterThan">
      <formula>0.03</formula>
    </cfRule>
    <cfRule type="cellIs" dxfId="1104" priority="430" stopIfTrue="1" operator="lessThan">
      <formula>-0.03</formula>
    </cfRule>
  </conditionalFormatting>
  <conditionalFormatting sqref="Y26:Z26">
    <cfRule type="cellIs" dxfId="1103" priority="417" operator="greaterThan">
      <formula>0.03</formula>
    </cfRule>
    <cfRule type="cellIs" dxfId="1102" priority="418" stopIfTrue="1" operator="lessThan">
      <formula>-0.03</formula>
    </cfRule>
  </conditionalFormatting>
  <conditionalFormatting sqref="Y18:Z18">
    <cfRule type="cellIs" dxfId="1101" priority="421" operator="greaterThan">
      <formula>0.03</formula>
    </cfRule>
    <cfRule type="cellIs" dxfId="1100" priority="422" stopIfTrue="1" operator="lessThan">
      <formula>-0.03</formula>
    </cfRule>
  </conditionalFormatting>
  <conditionalFormatting sqref="Y22:Z22">
    <cfRule type="cellIs" dxfId="1099" priority="419" operator="greaterThan">
      <formula>0.03</formula>
    </cfRule>
    <cfRule type="cellIs" dxfId="1098" priority="420" stopIfTrue="1" operator="lessThan">
      <formula>-0.03</formula>
    </cfRule>
  </conditionalFormatting>
  <conditionalFormatting sqref="V27:X30">
    <cfRule type="cellIs" dxfId="1097" priority="373" operator="greaterThan">
      <formula>0.03</formula>
    </cfRule>
    <cfRule type="cellIs" dxfId="1096" priority="374" stopIfTrue="1" operator="lessThan">
      <formula>-0.03</formula>
    </cfRule>
  </conditionalFormatting>
  <conditionalFormatting sqref="Y27">
    <cfRule type="cellIs" dxfId="1095" priority="371" operator="greaterThan">
      <formula>0.03</formula>
    </cfRule>
    <cfRule type="cellIs" dxfId="1094" priority="372" stopIfTrue="1" operator="lessThan">
      <formula>-0.03</formula>
    </cfRule>
  </conditionalFormatting>
  <conditionalFormatting sqref="Z27">
    <cfRule type="cellIs" dxfId="1093" priority="369" operator="greaterThan">
      <formula>0.03</formula>
    </cfRule>
    <cfRule type="cellIs" dxfId="1092" priority="370" stopIfTrue="1" operator="lessThan">
      <formula>-0.03</formula>
    </cfRule>
  </conditionalFormatting>
  <conditionalFormatting sqref="AA27">
    <cfRule type="cellIs" dxfId="1091" priority="367" operator="greaterThan">
      <formula>0.03</formula>
    </cfRule>
    <cfRule type="cellIs" dxfId="1090" priority="368" stopIfTrue="1" operator="lessThan">
      <formula>-0.03</formula>
    </cfRule>
  </conditionalFormatting>
  <conditionalFormatting sqref="Y30:Z30">
    <cfRule type="cellIs" dxfId="1089" priority="365" operator="greaterThan">
      <formula>0.03</formula>
    </cfRule>
    <cfRule type="cellIs" dxfId="1088" priority="366" stopIfTrue="1" operator="lessThan">
      <formula>-0.03</formula>
    </cfRule>
  </conditionalFormatting>
  <conditionalFormatting sqref="Y35">
    <cfRule type="cellIs" dxfId="1087" priority="345" operator="greaterThan">
      <formula>0.03</formula>
    </cfRule>
    <cfRule type="cellIs" dxfId="1086" priority="346" stopIfTrue="1" operator="lessThan">
      <formula>-0.03</formula>
    </cfRule>
  </conditionalFormatting>
  <conditionalFormatting sqref="V31:X38">
    <cfRule type="cellIs" dxfId="1085" priority="353" operator="greaterThan">
      <formula>0.03</formula>
    </cfRule>
    <cfRule type="cellIs" dxfId="1084" priority="354" stopIfTrue="1" operator="lessThan">
      <formula>-0.03</formula>
    </cfRule>
  </conditionalFormatting>
  <conditionalFormatting sqref="Y31">
    <cfRule type="cellIs" dxfId="1083" priority="351" operator="greaterThan">
      <formula>0.03</formula>
    </cfRule>
    <cfRule type="cellIs" dxfId="1082" priority="352" stopIfTrue="1" operator="lessThan">
      <formula>-0.03</formula>
    </cfRule>
  </conditionalFormatting>
  <conditionalFormatting sqref="Z31">
    <cfRule type="cellIs" dxfId="1081" priority="349" operator="greaterThan">
      <formula>0.03</formula>
    </cfRule>
    <cfRule type="cellIs" dxfId="1080" priority="350" stopIfTrue="1" operator="lessThan">
      <formula>-0.03</formula>
    </cfRule>
  </conditionalFormatting>
  <conditionalFormatting sqref="AA31">
    <cfRule type="cellIs" dxfId="1079" priority="347" operator="greaterThan">
      <formula>0.03</formula>
    </cfRule>
    <cfRule type="cellIs" dxfId="1078" priority="348" stopIfTrue="1" operator="lessThan">
      <formula>-0.03</formula>
    </cfRule>
  </conditionalFormatting>
  <conditionalFormatting sqref="Z35">
    <cfRule type="cellIs" dxfId="1077" priority="343" operator="greaterThan">
      <formula>0.03</formula>
    </cfRule>
    <cfRule type="cellIs" dxfId="1076" priority="344" stopIfTrue="1" operator="lessThan">
      <formula>-0.03</formula>
    </cfRule>
  </conditionalFormatting>
  <conditionalFormatting sqref="AA35">
    <cfRule type="cellIs" dxfId="1075" priority="341" operator="greaterThan">
      <formula>0.03</formula>
    </cfRule>
    <cfRule type="cellIs" dxfId="1074" priority="342" stopIfTrue="1" operator="lessThan">
      <formula>-0.03</formula>
    </cfRule>
  </conditionalFormatting>
  <conditionalFormatting sqref="Y38:Z38">
    <cfRule type="cellIs" dxfId="1073" priority="337" operator="greaterThan">
      <formula>0.03</formula>
    </cfRule>
    <cfRule type="cellIs" dxfId="1072" priority="338" stopIfTrue="1" operator="lessThan">
      <formula>-0.03</formula>
    </cfRule>
  </conditionalFormatting>
  <conditionalFormatting sqref="Y34:Z34">
    <cfRule type="cellIs" dxfId="1071" priority="339" operator="greaterThan">
      <formula>0.03</formula>
    </cfRule>
    <cfRule type="cellIs" dxfId="1070" priority="340" stopIfTrue="1" operator="lessThan">
      <formula>-0.03</formula>
    </cfRule>
  </conditionalFormatting>
  <conditionalFormatting sqref="Y43">
    <cfRule type="cellIs" dxfId="1069" priority="307" operator="greaterThan">
      <formula>0.03</formula>
    </cfRule>
    <cfRule type="cellIs" dxfId="1068" priority="308" stopIfTrue="1" operator="lessThan">
      <formula>-0.03</formula>
    </cfRule>
  </conditionalFormatting>
  <conditionalFormatting sqref="V39:X46">
    <cfRule type="cellIs" dxfId="1067" priority="315" operator="greaterThan">
      <formula>0.03</formula>
    </cfRule>
    <cfRule type="cellIs" dxfId="1066" priority="316" stopIfTrue="1" operator="lessThan">
      <formula>-0.03</formula>
    </cfRule>
  </conditionalFormatting>
  <conditionalFormatting sqref="Y39">
    <cfRule type="cellIs" dxfId="1065" priority="313" operator="greaterThan">
      <formula>0.03</formula>
    </cfRule>
    <cfRule type="cellIs" dxfId="1064" priority="314" stopIfTrue="1" operator="lessThan">
      <formula>-0.03</formula>
    </cfRule>
  </conditionalFormatting>
  <conditionalFormatting sqref="Z39">
    <cfRule type="cellIs" dxfId="1063" priority="311" operator="greaterThan">
      <formula>0.03</formula>
    </cfRule>
    <cfRule type="cellIs" dxfId="1062" priority="312" stopIfTrue="1" operator="lessThan">
      <formula>-0.03</formula>
    </cfRule>
  </conditionalFormatting>
  <conditionalFormatting sqref="AA39">
    <cfRule type="cellIs" dxfId="1061" priority="309" operator="greaterThan">
      <formula>0.03</formula>
    </cfRule>
    <cfRule type="cellIs" dxfId="1060" priority="310" stopIfTrue="1" operator="lessThan">
      <formula>-0.03</formula>
    </cfRule>
  </conditionalFormatting>
  <conditionalFormatting sqref="Z43">
    <cfRule type="cellIs" dxfId="1059" priority="305" operator="greaterThan">
      <formula>0.03</formula>
    </cfRule>
    <cfRule type="cellIs" dxfId="1058" priority="306" stopIfTrue="1" operator="lessThan">
      <formula>-0.03</formula>
    </cfRule>
  </conditionalFormatting>
  <conditionalFormatting sqref="AA43">
    <cfRule type="cellIs" dxfId="1057" priority="303" operator="greaterThan">
      <formula>0.03</formula>
    </cfRule>
    <cfRule type="cellIs" dxfId="1056" priority="304" stopIfTrue="1" operator="lessThan">
      <formula>-0.03</formula>
    </cfRule>
  </conditionalFormatting>
  <conditionalFormatting sqref="Y46:Z46">
    <cfRule type="cellIs" dxfId="1055" priority="299" operator="greaterThan">
      <formula>0.03</formula>
    </cfRule>
    <cfRule type="cellIs" dxfId="1054" priority="300" stopIfTrue="1" operator="lessThan">
      <formula>-0.03</formula>
    </cfRule>
  </conditionalFormatting>
  <conditionalFormatting sqref="Y42:Z42">
    <cfRule type="cellIs" dxfId="1053" priority="301" operator="greaterThan">
      <formula>0.03</formula>
    </cfRule>
    <cfRule type="cellIs" dxfId="1052" priority="302" stopIfTrue="1" operator="lessThan">
      <formula>-0.03</formula>
    </cfRule>
  </conditionalFormatting>
  <conditionalFormatting sqref="Y55">
    <cfRule type="cellIs" dxfId="1051" priority="263" operator="greaterThan">
      <formula>0.03</formula>
    </cfRule>
    <cfRule type="cellIs" dxfId="1050" priority="264" stopIfTrue="1" operator="lessThan">
      <formula>-0.03</formula>
    </cfRule>
  </conditionalFormatting>
  <conditionalFormatting sqref="V47:X62">
    <cfRule type="cellIs" dxfId="1049" priority="277" operator="greaterThan">
      <formula>0.03</formula>
    </cfRule>
    <cfRule type="cellIs" dxfId="1048" priority="278" stopIfTrue="1" operator="lessThan">
      <formula>-0.03</formula>
    </cfRule>
  </conditionalFormatting>
  <conditionalFormatting sqref="Y47">
    <cfRule type="cellIs" dxfId="1047" priority="275" operator="greaterThan">
      <formula>0.03</formula>
    </cfRule>
    <cfRule type="cellIs" dxfId="1046" priority="276" stopIfTrue="1" operator="lessThan">
      <formula>-0.03</formula>
    </cfRule>
  </conditionalFormatting>
  <conditionalFormatting sqref="Z47">
    <cfRule type="cellIs" dxfId="1045" priority="273" operator="greaterThan">
      <formula>0.03</formula>
    </cfRule>
    <cfRule type="cellIs" dxfId="1044" priority="274" stopIfTrue="1" operator="lessThan">
      <formula>-0.03</formula>
    </cfRule>
  </conditionalFormatting>
  <conditionalFormatting sqref="AA47">
    <cfRule type="cellIs" dxfId="1043" priority="271" operator="greaterThan">
      <formula>0.03</formula>
    </cfRule>
    <cfRule type="cellIs" dxfId="1042" priority="272" stopIfTrue="1" operator="lessThan">
      <formula>-0.03</formula>
    </cfRule>
  </conditionalFormatting>
  <conditionalFormatting sqref="Y51">
    <cfRule type="cellIs" dxfId="1041" priority="269" operator="greaterThan">
      <formula>0.03</formula>
    </cfRule>
    <cfRule type="cellIs" dxfId="1040" priority="270" stopIfTrue="1" operator="lessThan">
      <formula>-0.03</formula>
    </cfRule>
  </conditionalFormatting>
  <conditionalFormatting sqref="Z51">
    <cfRule type="cellIs" dxfId="1039" priority="267" operator="greaterThan">
      <formula>0.03</formula>
    </cfRule>
    <cfRule type="cellIs" dxfId="1038" priority="268" stopIfTrue="1" operator="lessThan">
      <formula>-0.03</formula>
    </cfRule>
  </conditionalFormatting>
  <conditionalFormatting sqref="AA51">
    <cfRule type="cellIs" dxfId="1037" priority="265" operator="greaterThan">
      <formula>0.03</formula>
    </cfRule>
    <cfRule type="cellIs" dxfId="1036" priority="266" stopIfTrue="1" operator="lessThan">
      <formula>-0.03</formula>
    </cfRule>
  </conditionalFormatting>
  <conditionalFormatting sqref="Z55">
    <cfRule type="cellIs" dxfId="1035" priority="261" operator="greaterThan">
      <formula>0.03</formula>
    </cfRule>
    <cfRule type="cellIs" dxfId="1034" priority="262" stopIfTrue="1" operator="lessThan">
      <formula>-0.03</formula>
    </cfRule>
  </conditionalFormatting>
  <conditionalFormatting sqref="AA55">
    <cfRule type="cellIs" dxfId="1033" priority="259" operator="greaterThan">
      <formula>0.03</formula>
    </cfRule>
    <cfRule type="cellIs" dxfId="1032" priority="260" stopIfTrue="1" operator="lessThan">
      <formula>-0.03</formula>
    </cfRule>
  </conditionalFormatting>
  <conditionalFormatting sqref="Y59">
    <cfRule type="cellIs" dxfId="1031" priority="257" operator="greaterThan">
      <formula>0.03</formula>
    </cfRule>
    <cfRule type="cellIs" dxfId="1030" priority="258" stopIfTrue="1" operator="lessThan">
      <formula>-0.03</formula>
    </cfRule>
  </conditionalFormatting>
  <conditionalFormatting sqref="Z59">
    <cfRule type="cellIs" dxfId="1029" priority="255" operator="greaterThan">
      <formula>0.03</formula>
    </cfRule>
    <cfRule type="cellIs" dxfId="1028" priority="256" stopIfTrue="1" operator="lessThan">
      <formula>-0.03</formula>
    </cfRule>
  </conditionalFormatting>
  <conditionalFormatting sqref="AA59">
    <cfRule type="cellIs" dxfId="1027" priority="253" operator="greaterThan">
      <formula>0.03</formula>
    </cfRule>
    <cfRule type="cellIs" dxfId="1026" priority="254" stopIfTrue="1" operator="lessThan">
      <formula>-0.03</formula>
    </cfRule>
  </conditionalFormatting>
  <conditionalFormatting sqref="Y58:Z58">
    <cfRule type="cellIs" dxfId="1025" priority="247" operator="greaterThan">
      <formula>0.03</formula>
    </cfRule>
    <cfRule type="cellIs" dxfId="1024" priority="248" stopIfTrue="1" operator="lessThan">
      <formula>-0.03</formula>
    </cfRule>
  </conditionalFormatting>
  <conditionalFormatting sqref="Y50:Z50">
    <cfRule type="cellIs" dxfId="1023" priority="251" operator="greaterThan">
      <formula>0.03</formula>
    </cfRule>
    <cfRule type="cellIs" dxfId="1022" priority="252" stopIfTrue="1" operator="lessThan">
      <formula>-0.03</formula>
    </cfRule>
  </conditionalFormatting>
  <conditionalFormatting sqref="Y54:Z54">
    <cfRule type="cellIs" dxfId="1021" priority="249" operator="greaterThan">
      <formula>0.03</formula>
    </cfRule>
    <cfRule type="cellIs" dxfId="1020" priority="250" stopIfTrue="1" operator="lessThan">
      <formula>-0.03</formula>
    </cfRule>
  </conditionalFormatting>
  <conditionalFormatting sqref="Y62:Z62">
    <cfRule type="cellIs" dxfId="1019" priority="245" operator="greaterThan">
      <formula>0.03</formula>
    </cfRule>
    <cfRule type="cellIs" dxfId="1018" priority="246" stopIfTrue="1" operator="lessThan">
      <formula>-0.03</formula>
    </cfRule>
  </conditionalFormatting>
  <conditionalFormatting sqref="Y71">
    <cfRule type="cellIs" dxfId="1017" priority="189" operator="greaterThan">
      <formula>0.03</formula>
    </cfRule>
    <cfRule type="cellIs" dxfId="1016" priority="190" stopIfTrue="1" operator="lessThan">
      <formula>-0.03</formula>
    </cfRule>
  </conditionalFormatting>
  <conditionalFormatting sqref="V63:X78">
    <cfRule type="cellIs" dxfId="1015" priority="203" operator="greaterThan">
      <formula>0.03</formula>
    </cfRule>
    <cfRule type="cellIs" dxfId="1014" priority="204" stopIfTrue="1" operator="lessThan">
      <formula>-0.03</formula>
    </cfRule>
  </conditionalFormatting>
  <conditionalFormatting sqref="Y63">
    <cfRule type="cellIs" dxfId="1013" priority="201" operator="greaterThan">
      <formula>0.03</formula>
    </cfRule>
    <cfRule type="cellIs" dxfId="1012" priority="202" stopIfTrue="1" operator="lessThan">
      <formula>-0.03</formula>
    </cfRule>
  </conditionalFormatting>
  <conditionalFormatting sqref="Z63">
    <cfRule type="cellIs" dxfId="1011" priority="199" operator="greaterThan">
      <formula>0.03</formula>
    </cfRule>
    <cfRule type="cellIs" dxfId="1010" priority="200" stopIfTrue="1" operator="lessThan">
      <formula>-0.03</formula>
    </cfRule>
  </conditionalFormatting>
  <conditionalFormatting sqref="AA63">
    <cfRule type="cellIs" dxfId="1009" priority="197" operator="greaterThan">
      <formula>0.03</formula>
    </cfRule>
    <cfRule type="cellIs" dxfId="1008" priority="198" stopIfTrue="1" operator="lessThan">
      <formula>-0.03</formula>
    </cfRule>
  </conditionalFormatting>
  <conditionalFormatting sqref="Y67">
    <cfRule type="cellIs" dxfId="1007" priority="195" operator="greaterThan">
      <formula>0.03</formula>
    </cfRule>
    <cfRule type="cellIs" dxfId="1006" priority="196" stopIfTrue="1" operator="lessThan">
      <formula>-0.03</formula>
    </cfRule>
  </conditionalFormatting>
  <conditionalFormatting sqref="Z67">
    <cfRule type="cellIs" dxfId="1005" priority="193" operator="greaterThan">
      <formula>0.03</formula>
    </cfRule>
    <cfRule type="cellIs" dxfId="1004" priority="194" stopIfTrue="1" operator="lessThan">
      <formula>-0.03</formula>
    </cfRule>
  </conditionalFormatting>
  <conditionalFormatting sqref="AA67">
    <cfRule type="cellIs" dxfId="1003" priority="191" operator="greaterThan">
      <formula>0.03</formula>
    </cfRule>
    <cfRule type="cellIs" dxfId="1002" priority="192" stopIfTrue="1" operator="lessThan">
      <formula>-0.03</formula>
    </cfRule>
  </conditionalFormatting>
  <conditionalFormatting sqref="Z71">
    <cfRule type="cellIs" dxfId="1001" priority="187" operator="greaterThan">
      <formula>0.03</formula>
    </cfRule>
    <cfRule type="cellIs" dxfId="1000" priority="188" stopIfTrue="1" operator="lessThan">
      <formula>-0.03</formula>
    </cfRule>
  </conditionalFormatting>
  <conditionalFormatting sqref="AA71">
    <cfRule type="cellIs" dxfId="999" priority="185" operator="greaterThan">
      <formula>0.03</formula>
    </cfRule>
    <cfRule type="cellIs" dxfId="998" priority="186" stopIfTrue="1" operator="lessThan">
      <formula>-0.03</formula>
    </cfRule>
  </conditionalFormatting>
  <conditionalFormatting sqref="Y75">
    <cfRule type="cellIs" dxfId="997" priority="183" operator="greaterThan">
      <formula>0.03</formula>
    </cfRule>
    <cfRule type="cellIs" dxfId="996" priority="184" stopIfTrue="1" operator="lessThan">
      <formula>-0.03</formula>
    </cfRule>
  </conditionalFormatting>
  <conditionalFormatting sqref="Z75">
    <cfRule type="cellIs" dxfId="995" priority="181" operator="greaterThan">
      <formula>0.03</formula>
    </cfRule>
    <cfRule type="cellIs" dxfId="994" priority="182" stopIfTrue="1" operator="lessThan">
      <formula>-0.03</formula>
    </cfRule>
  </conditionalFormatting>
  <conditionalFormatting sqref="AA75">
    <cfRule type="cellIs" dxfId="993" priority="179" operator="greaterThan">
      <formula>0.03</formula>
    </cfRule>
    <cfRule type="cellIs" dxfId="992" priority="180" stopIfTrue="1" operator="lessThan">
      <formula>-0.03</formula>
    </cfRule>
  </conditionalFormatting>
  <conditionalFormatting sqref="Y74:Z74">
    <cfRule type="cellIs" dxfId="991" priority="173" operator="greaterThan">
      <formula>0.03</formula>
    </cfRule>
    <cfRule type="cellIs" dxfId="990" priority="174" stopIfTrue="1" operator="lessThan">
      <formula>-0.03</formula>
    </cfRule>
  </conditionalFormatting>
  <conditionalFormatting sqref="Y66:Z66">
    <cfRule type="cellIs" dxfId="989" priority="177" operator="greaterThan">
      <formula>0.03</formula>
    </cfRule>
    <cfRule type="cellIs" dxfId="988" priority="178" stopIfTrue="1" operator="lessThan">
      <formula>-0.03</formula>
    </cfRule>
  </conditionalFormatting>
  <conditionalFormatting sqref="Y70:Z70">
    <cfRule type="cellIs" dxfId="987" priority="175" operator="greaterThan">
      <formula>0.03</formula>
    </cfRule>
    <cfRule type="cellIs" dxfId="986" priority="176" stopIfTrue="1" operator="lessThan">
      <formula>-0.03</formula>
    </cfRule>
  </conditionalFormatting>
  <conditionalFormatting sqref="Y78:Z78">
    <cfRule type="cellIs" dxfId="985" priority="171" operator="greaterThan">
      <formula>0.03</formula>
    </cfRule>
    <cfRule type="cellIs" dxfId="984" priority="172" stopIfTrue="1" operator="lessThan">
      <formula>-0.03</formula>
    </cfRule>
  </conditionalFormatting>
  <conditionalFormatting sqref="Y99">
    <cfRule type="cellIs" dxfId="983" priority="115" operator="greaterThan">
      <formula>0.03</formula>
    </cfRule>
    <cfRule type="cellIs" dxfId="982" priority="116" stopIfTrue="1" operator="lessThan">
      <formula>-0.03</formula>
    </cfRule>
  </conditionalFormatting>
  <conditionalFormatting sqref="V91:X106">
    <cfRule type="cellIs" dxfId="981" priority="129" operator="greaterThan">
      <formula>0.03</formula>
    </cfRule>
    <cfRule type="cellIs" dxfId="980" priority="130" stopIfTrue="1" operator="lessThan">
      <formula>-0.03</formula>
    </cfRule>
  </conditionalFormatting>
  <conditionalFormatting sqref="Y91">
    <cfRule type="cellIs" dxfId="979" priority="127" operator="greaterThan">
      <formula>0.03</formula>
    </cfRule>
    <cfRule type="cellIs" dxfId="978" priority="128" stopIfTrue="1" operator="lessThan">
      <formula>-0.03</formula>
    </cfRule>
  </conditionalFormatting>
  <conditionalFormatting sqref="Z91">
    <cfRule type="cellIs" dxfId="977" priority="125" operator="greaterThan">
      <formula>0.03</formula>
    </cfRule>
    <cfRule type="cellIs" dxfId="976" priority="126" stopIfTrue="1" operator="lessThan">
      <formula>-0.03</formula>
    </cfRule>
  </conditionalFormatting>
  <conditionalFormatting sqref="AA91">
    <cfRule type="cellIs" dxfId="975" priority="123" operator="greaterThan">
      <formula>0.03</formula>
    </cfRule>
    <cfRule type="cellIs" dxfId="974" priority="124" stopIfTrue="1" operator="lessThan">
      <formula>-0.03</formula>
    </cfRule>
  </conditionalFormatting>
  <conditionalFormatting sqref="Y95">
    <cfRule type="cellIs" dxfId="973" priority="121" operator="greaterThan">
      <formula>0.03</formula>
    </cfRule>
    <cfRule type="cellIs" dxfId="972" priority="122" stopIfTrue="1" operator="lessThan">
      <formula>-0.03</formula>
    </cfRule>
  </conditionalFormatting>
  <conditionalFormatting sqref="Z95">
    <cfRule type="cellIs" dxfId="971" priority="119" operator="greaterThan">
      <formula>0.03</formula>
    </cfRule>
    <cfRule type="cellIs" dxfId="970" priority="120" stopIfTrue="1" operator="lessThan">
      <formula>-0.03</formula>
    </cfRule>
  </conditionalFormatting>
  <conditionalFormatting sqref="AA95">
    <cfRule type="cellIs" dxfId="969" priority="117" operator="greaterThan">
      <formula>0.03</formula>
    </cfRule>
    <cfRule type="cellIs" dxfId="968" priority="118" stopIfTrue="1" operator="lessThan">
      <formula>-0.03</formula>
    </cfRule>
  </conditionalFormatting>
  <conditionalFormatting sqref="Z99">
    <cfRule type="cellIs" dxfId="967" priority="113" operator="greaterThan">
      <formula>0.03</formula>
    </cfRule>
    <cfRule type="cellIs" dxfId="966" priority="114" stopIfTrue="1" operator="lessThan">
      <formula>-0.03</formula>
    </cfRule>
  </conditionalFormatting>
  <conditionalFormatting sqref="AA99">
    <cfRule type="cellIs" dxfId="965" priority="111" operator="greaterThan">
      <formula>0.03</formula>
    </cfRule>
    <cfRule type="cellIs" dxfId="964" priority="112" stopIfTrue="1" operator="lessThan">
      <formula>-0.03</formula>
    </cfRule>
  </conditionalFormatting>
  <conditionalFormatting sqref="Y102:Z102">
    <cfRule type="cellIs" dxfId="963" priority="99" operator="greaterThan">
      <formula>0.03</formula>
    </cfRule>
    <cfRule type="cellIs" dxfId="962" priority="100" stopIfTrue="1" operator="lessThan">
      <formula>-0.03</formula>
    </cfRule>
  </conditionalFormatting>
  <conditionalFormatting sqref="Y98:Z98">
    <cfRule type="cellIs" dxfId="961" priority="101" operator="greaterThan">
      <formula>0.03</formula>
    </cfRule>
    <cfRule type="cellIs" dxfId="960" priority="102" stopIfTrue="1" operator="lessThan">
      <formula>-0.03</formula>
    </cfRule>
  </conditionalFormatting>
  <conditionalFormatting sqref="Y106:Z106">
    <cfRule type="cellIs" dxfId="959" priority="97" operator="greaterThan">
      <formula>0.03</formula>
    </cfRule>
    <cfRule type="cellIs" dxfId="958" priority="9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20"/>
  <sheetViews>
    <sheetView topLeftCell="A65" zoomScaleNormal="100" workbookViewId="0">
      <selection activeCell="L47" sqref="L47:P90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>
      <c r="D1" s="124" t="s">
        <v>12</v>
      </c>
      <c r="E1" s="125"/>
      <c r="F1" s="125"/>
      <c r="G1" s="125"/>
      <c r="H1" s="125"/>
      <c r="I1" s="125"/>
      <c r="J1" s="126"/>
      <c r="L1" s="124" t="s">
        <v>13</v>
      </c>
      <c r="M1" s="125"/>
      <c r="N1" s="125"/>
      <c r="O1" s="125"/>
      <c r="P1" s="125"/>
      <c r="Q1" s="125"/>
      <c r="R1" s="126"/>
      <c r="S1" s="37"/>
      <c r="T1" s="37"/>
      <c r="U1" s="2"/>
      <c r="V1" s="124" t="s">
        <v>24</v>
      </c>
      <c r="W1" s="125"/>
      <c r="X1" s="126"/>
      <c r="Y1" s="124" t="s">
        <v>25</v>
      </c>
      <c r="Z1" s="125"/>
      <c r="AA1" s="126"/>
    </row>
    <row r="2" spans="1:27" ht="12.75" thickBot="1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66</v>
      </c>
      <c r="T2" s="7" t="s">
        <v>67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>
      <c r="A3" s="11" t="s">
        <v>72</v>
      </c>
      <c r="B3" s="11" t="s">
        <v>416</v>
      </c>
      <c r="C3" s="11">
        <v>22</v>
      </c>
      <c r="D3" s="12">
        <v>19089.6924</v>
      </c>
      <c r="E3" s="13">
        <v>41.542999999999999</v>
      </c>
      <c r="F3" s="13">
        <v>49.436199999999999</v>
      </c>
      <c r="G3" s="13">
        <v>47.987900000000003</v>
      </c>
      <c r="H3" s="13">
        <v>38933.305</v>
      </c>
      <c r="I3" s="13">
        <v>28.28</v>
      </c>
      <c r="J3" s="14">
        <f>H3/3600</f>
        <v>10.814806944444445</v>
      </c>
      <c r="L3" s="12">
        <v>19406.0157</v>
      </c>
      <c r="M3" s="13">
        <v>41.616500000000002</v>
      </c>
      <c r="N3" s="13">
        <v>49.460700000000003</v>
      </c>
      <c r="O3" s="13">
        <v>48.001899999999999</v>
      </c>
      <c r="P3" s="13">
        <v>72496.543999999994</v>
      </c>
      <c r="Q3" s="13">
        <v>29.239000000000001</v>
      </c>
      <c r="R3" s="14">
        <f>P3/3600</f>
        <v>20.137928888888887</v>
      </c>
      <c r="S3" s="13">
        <f>P3/H3</f>
        <v>1.8620701222256881</v>
      </c>
      <c r="T3" s="13">
        <f>Q3/I3</f>
        <v>1.0339108910891088</v>
      </c>
      <c r="U3" s="58"/>
      <c r="V3" s="41">
        <f>bdrate($D3:$D6,E3:E6,$L3:$L6,M3:M6)</f>
        <v>-3.223599884950501E-2</v>
      </c>
      <c r="W3" s="46">
        <f>bdrate($D3:$D6,F3:F6,$L3:$L6,N3:N6)</f>
        <v>-2.2276479861334297E-2</v>
      </c>
      <c r="X3" s="47">
        <f>bdrate($D3:$D6,G3:G6,$L3:$L6,O3:O6)</f>
        <v>-1.5442511895226718E-2</v>
      </c>
      <c r="Y3" s="41">
        <f>bdrateOld($D3:$D6,E3:E6,$L3:$L6,M3:M6)</f>
        <v>-3.1635230549520554E-2</v>
      </c>
      <c r="Z3" s="46">
        <f>bdrateOld($D3:$D6,F3:F6,$L3:$L6,N3:N6)</f>
        <v>-2.2259960650979793E-2</v>
      </c>
      <c r="AA3" s="47">
        <f>bdrateOld($D3:$D6,G3:G6,$L3:$L6,O3:O6)</f>
        <v>-1.5634368436227564E-2</v>
      </c>
    </row>
    <row r="4" spans="1:27">
      <c r="A4" s="16" t="s">
        <v>46</v>
      </c>
      <c r="B4" s="16"/>
      <c r="C4" s="16">
        <v>27</v>
      </c>
      <c r="D4" s="17">
        <v>6469.2016000000003</v>
      </c>
      <c r="E4" s="18">
        <v>40.187800000000003</v>
      </c>
      <c r="F4" s="18">
        <v>48.159799999999997</v>
      </c>
      <c r="G4" s="18">
        <v>46.245699999999999</v>
      </c>
      <c r="H4" s="18">
        <v>27726.519</v>
      </c>
      <c r="I4" s="18">
        <v>28.204000000000001</v>
      </c>
      <c r="J4" s="19">
        <f t="shared" ref="J4:J14" si="0">H4/3600</f>
        <v>7.7018108333333331</v>
      </c>
      <c r="L4" s="17">
        <v>6396.8935000000001</v>
      </c>
      <c r="M4" s="18">
        <v>40.213900000000002</v>
      </c>
      <c r="N4" s="18">
        <v>48.176299999999998</v>
      </c>
      <c r="O4" s="18">
        <v>46.254899999999999</v>
      </c>
      <c r="P4" s="18">
        <v>56605.154000000002</v>
      </c>
      <c r="Q4" s="18">
        <v>21.582999999999998</v>
      </c>
      <c r="R4" s="19">
        <f t="shared" ref="R4:R14" si="1">P4/3600</f>
        <v>15.72365388888889</v>
      </c>
      <c r="S4" s="18">
        <f t="shared" ref="S4:T14" si="2">P4/H4</f>
        <v>2.0415528541466026</v>
      </c>
      <c r="T4" s="18">
        <f t="shared" si="2"/>
        <v>0.76524606438803</v>
      </c>
      <c r="U4" s="59"/>
      <c r="V4" s="42"/>
      <c r="W4" s="25"/>
      <c r="X4" s="54"/>
      <c r="Y4" s="42"/>
      <c r="Z4" s="25"/>
      <c r="AA4" s="54"/>
    </row>
    <row r="5" spans="1:27">
      <c r="A5" s="16"/>
      <c r="B5" s="16"/>
      <c r="C5" s="16">
        <v>32</v>
      </c>
      <c r="D5" s="17">
        <v>3627.6129999999998</v>
      </c>
      <c r="E5" s="18">
        <v>39.359000000000002</v>
      </c>
      <c r="F5" s="18">
        <v>46.878</v>
      </c>
      <c r="G5" s="18">
        <v>44.669800000000002</v>
      </c>
      <c r="H5" s="18">
        <v>24087.928</v>
      </c>
      <c r="I5" s="18">
        <v>23.715</v>
      </c>
      <c r="J5" s="19">
        <f t="shared" si="0"/>
        <v>6.6910911111111107</v>
      </c>
      <c r="L5" s="17">
        <v>3557.3254000000002</v>
      </c>
      <c r="M5" s="18">
        <v>39.380299999999998</v>
      </c>
      <c r="N5" s="18">
        <v>46.895400000000002</v>
      </c>
      <c r="O5" s="18">
        <v>44.675699999999999</v>
      </c>
      <c r="P5" s="18">
        <v>50420.01</v>
      </c>
      <c r="Q5" s="18">
        <v>25.908999999999999</v>
      </c>
      <c r="R5" s="19">
        <f t="shared" si="1"/>
        <v>14.005558333333333</v>
      </c>
      <c r="S5" s="18">
        <f t="shared" si="2"/>
        <v>2.0931650908288999</v>
      </c>
      <c r="T5" s="18">
        <f t="shared" si="2"/>
        <v>1.092515285684166</v>
      </c>
      <c r="U5" s="59"/>
      <c r="V5" s="42"/>
      <c r="W5" s="25"/>
      <c r="X5" s="54"/>
      <c r="Y5" s="42"/>
      <c r="Z5" s="25"/>
      <c r="AA5" s="54"/>
    </row>
    <row r="6" spans="1:27" ht="12.75" thickBot="1">
      <c r="A6" s="16"/>
      <c r="B6" s="21"/>
      <c r="C6" s="21">
        <v>37</v>
      </c>
      <c r="D6" s="22">
        <v>2156.8719000000001</v>
      </c>
      <c r="E6" s="23">
        <v>38.185299999999998</v>
      </c>
      <c r="F6" s="23">
        <v>45.818800000000003</v>
      </c>
      <c r="G6" s="23">
        <v>43.402200000000001</v>
      </c>
      <c r="H6" s="23">
        <v>21699.312999999998</v>
      </c>
      <c r="I6" s="23">
        <v>18.129000000000001</v>
      </c>
      <c r="J6" s="24">
        <f t="shared" si="0"/>
        <v>6.0275869444444439</v>
      </c>
      <c r="L6" s="22">
        <v>2110.5648999999999</v>
      </c>
      <c r="M6" s="23">
        <v>38.201599999999999</v>
      </c>
      <c r="N6" s="23">
        <v>45.826999999999998</v>
      </c>
      <c r="O6" s="23">
        <v>43.410600000000002</v>
      </c>
      <c r="P6" s="23">
        <v>44073.165999999997</v>
      </c>
      <c r="Q6" s="23">
        <v>17.361999999999998</v>
      </c>
      <c r="R6" s="24">
        <f t="shared" si="1"/>
        <v>12.24254611111111</v>
      </c>
      <c r="S6" s="18">
        <f t="shared" si="2"/>
        <v>2.0310857767709054</v>
      </c>
      <c r="T6" s="18">
        <f t="shared" si="2"/>
        <v>0.95769209553753643</v>
      </c>
      <c r="U6" s="59"/>
      <c r="V6" s="43"/>
      <c r="W6" s="55"/>
      <c r="X6" s="56"/>
      <c r="Y6" s="43"/>
      <c r="Z6" s="55"/>
      <c r="AA6" s="56"/>
    </row>
    <row r="7" spans="1:27">
      <c r="A7" s="16"/>
      <c r="B7" s="11" t="s">
        <v>417</v>
      </c>
      <c r="C7" s="11">
        <v>22</v>
      </c>
      <c r="D7" s="12">
        <v>17253.84</v>
      </c>
      <c r="E7" s="13">
        <v>45.027200000000001</v>
      </c>
      <c r="F7" s="13">
        <v>49.636899999999997</v>
      </c>
      <c r="G7" s="13">
        <v>50.145499999999998</v>
      </c>
      <c r="H7" s="13">
        <v>30990.447</v>
      </c>
      <c r="I7" s="13">
        <v>25.327999999999999</v>
      </c>
      <c r="J7" s="14">
        <f t="shared" si="0"/>
        <v>8.6084575000000001</v>
      </c>
      <c r="L7" s="12">
        <v>17085.727900000002</v>
      </c>
      <c r="M7" s="13">
        <v>45.106000000000002</v>
      </c>
      <c r="N7" s="13">
        <v>49.637900000000002</v>
      </c>
      <c r="O7" s="13">
        <v>50.154600000000002</v>
      </c>
      <c r="P7" s="13">
        <v>65548.12</v>
      </c>
      <c r="Q7" s="13">
        <v>25.556000000000001</v>
      </c>
      <c r="R7" s="14">
        <f t="shared" si="1"/>
        <v>18.207811111111109</v>
      </c>
      <c r="S7" s="18">
        <f t="shared" si="2"/>
        <v>2.1151072780589448</v>
      </c>
      <c r="T7" s="18">
        <f t="shared" si="2"/>
        <v>1.0090018951358182</v>
      </c>
      <c r="U7" s="59"/>
      <c r="V7" s="41">
        <f>bdrate($D7:$D10,E7:E10,$L7:$L10,M7:M10)</f>
        <v>-3.8792463348945039E-2</v>
      </c>
      <c r="W7" s="46">
        <f>bdrate($D7:$D10,F7:F10,$L7:$L10,N7:N10)</f>
        <v>-2.1292897118620591E-2</v>
      </c>
      <c r="X7" s="46">
        <f>bdrate($D7:$D10,G7:G10,$L7:$L10,O7:O10)</f>
        <v>-2.2411818833152353E-2</v>
      </c>
      <c r="Y7" s="44">
        <f>bdrateOld($D7:$D10,E7:E10,$L7:$L10,M7:M10)</f>
        <v>-3.8857983542831986E-2</v>
      </c>
      <c r="Z7" s="48">
        <f>bdrateOld($D7:$D10,F7:F10,$L7:$L10,N7:N10)</f>
        <v>-2.1429273506987534E-2</v>
      </c>
      <c r="AA7" s="49">
        <f>bdrateOld($D7:$D10,G7:G10,$L7:$L10,O7:O10)</f>
        <v>-2.2406024710659556E-2</v>
      </c>
    </row>
    <row r="8" spans="1:27">
      <c r="A8" s="16"/>
      <c r="B8" s="16"/>
      <c r="C8" s="16">
        <v>27</v>
      </c>
      <c r="D8" s="17">
        <v>9982.1574000000001</v>
      </c>
      <c r="E8" s="18">
        <v>43.551000000000002</v>
      </c>
      <c r="F8" s="18">
        <v>47.365000000000002</v>
      </c>
      <c r="G8" s="18">
        <v>47.764200000000002</v>
      </c>
      <c r="H8" s="18">
        <v>28114.190999999999</v>
      </c>
      <c r="I8" s="18">
        <v>22.8</v>
      </c>
      <c r="J8" s="19">
        <f t="shared" si="0"/>
        <v>7.8094975</v>
      </c>
      <c r="L8" s="17">
        <v>9774.75</v>
      </c>
      <c r="M8" s="18">
        <v>43.609699999999997</v>
      </c>
      <c r="N8" s="18">
        <v>47.369500000000002</v>
      </c>
      <c r="O8" s="18">
        <v>47.773899999999998</v>
      </c>
      <c r="P8" s="18">
        <v>58344.294999999998</v>
      </c>
      <c r="Q8" s="18">
        <v>23.773</v>
      </c>
      <c r="R8" s="19">
        <f t="shared" si="1"/>
        <v>16.206748611111109</v>
      </c>
      <c r="S8" s="18">
        <f t="shared" si="2"/>
        <v>2.0752613866783505</v>
      </c>
      <c r="T8" s="18">
        <f t="shared" si="2"/>
        <v>1.0426754385964911</v>
      </c>
      <c r="U8" s="59"/>
      <c r="V8" s="42"/>
      <c r="W8" s="25"/>
      <c r="X8" s="25"/>
      <c r="Y8" s="42"/>
      <c r="Z8" s="25"/>
      <c r="AA8" s="54"/>
    </row>
    <row r="9" spans="1:27">
      <c r="A9" s="16"/>
      <c r="B9" s="16"/>
      <c r="C9" s="16">
        <v>32</v>
      </c>
      <c r="D9" s="17">
        <v>5953.9263000000001</v>
      </c>
      <c r="E9" s="18">
        <v>41.759399999999999</v>
      </c>
      <c r="F9" s="18">
        <v>45.502499999999998</v>
      </c>
      <c r="G9" s="18">
        <v>45.815800000000003</v>
      </c>
      <c r="H9" s="18">
        <v>28300.169000000002</v>
      </c>
      <c r="I9" s="18">
        <v>19.966000000000001</v>
      </c>
      <c r="J9" s="19">
        <f t="shared" si="0"/>
        <v>7.8611580555555562</v>
      </c>
      <c r="L9" s="17">
        <v>5820.2210999999998</v>
      </c>
      <c r="M9" s="18">
        <v>41.824399999999997</v>
      </c>
      <c r="N9" s="18">
        <v>45.5092</v>
      </c>
      <c r="O9" s="18">
        <v>45.828499999999998</v>
      </c>
      <c r="P9" s="18">
        <v>56507.434000000001</v>
      </c>
      <c r="Q9" s="18">
        <v>22.64</v>
      </c>
      <c r="R9" s="19">
        <f t="shared" si="1"/>
        <v>15.696509444444445</v>
      </c>
      <c r="S9" s="18">
        <f t="shared" si="2"/>
        <v>1.9967171927489196</v>
      </c>
      <c r="T9" s="18">
        <f t="shared" si="2"/>
        <v>1.1339276770509867</v>
      </c>
      <c r="U9" s="59"/>
      <c r="V9" s="42"/>
      <c r="W9" s="25"/>
      <c r="X9" s="25"/>
      <c r="Y9" s="42"/>
      <c r="Z9" s="25"/>
      <c r="AA9" s="54"/>
    </row>
    <row r="10" spans="1:27" ht="12.75" thickBot="1">
      <c r="A10" s="16"/>
      <c r="B10" s="21"/>
      <c r="C10" s="21">
        <v>37</v>
      </c>
      <c r="D10" s="22">
        <v>3527.7078999999999</v>
      </c>
      <c r="E10" s="23">
        <v>39.566600000000001</v>
      </c>
      <c r="F10" s="23">
        <v>44.100499999999997</v>
      </c>
      <c r="G10" s="23">
        <v>44.338999999999999</v>
      </c>
      <c r="H10" s="23">
        <v>24690.202000000001</v>
      </c>
      <c r="I10" s="23">
        <v>17.786000000000001</v>
      </c>
      <c r="J10" s="24">
        <f t="shared" si="0"/>
        <v>6.8583894444444446</v>
      </c>
      <c r="L10" s="22">
        <v>3448.7431999999999</v>
      </c>
      <c r="M10" s="23">
        <v>39.625999999999998</v>
      </c>
      <c r="N10" s="23">
        <v>44.111699999999999</v>
      </c>
      <c r="O10" s="23">
        <v>44.344499999999996</v>
      </c>
      <c r="P10" s="23">
        <v>51393.572999999997</v>
      </c>
      <c r="Q10" s="23">
        <v>19.257999999999999</v>
      </c>
      <c r="R10" s="24">
        <f t="shared" si="1"/>
        <v>14.275992499999999</v>
      </c>
      <c r="S10" s="18">
        <f t="shared" si="2"/>
        <v>2.0815371619883871</v>
      </c>
      <c r="T10" s="18">
        <f t="shared" si="2"/>
        <v>1.0827617227032496</v>
      </c>
      <c r="U10" s="59"/>
      <c r="V10" s="43"/>
      <c r="W10" s="55"/>
      <c r="X10" s="55"/>
      <c r="Y10" s="43"/>
      <c r="Z10" s="55"/>
      <c r="AA10" s="56"/>
    </row>
    <row r="11" spans="1:27">
      <c r="A11" s="35"/>
      <c r="B11" s="34" t="s">
        <v>503</v>
      </c>
      <c r="C11" s="34">
        <v>22</v>
      </c>
      <c r="D11" s="12">
        <v>25077.9797</v>
      </c>
      <c r="E11" s="13">
        <v>43.110599999999998</v>
      </c>
      <c r="F11" s="13">
        <v>44.648400000000002</v>
      </c>
      <c r="G11" s="13">
        <v>43.945900000000002</v>
      </c>
      <c r="H11" s="13">
        <v>35482.533000000003</v>
      </c>
      <c r="I11" s="13">
        <v>44.366999999999997</v>
      </c>
      <c r="J11" s="14">
        <f t="shared" si="0"/>
        <v>9.8562591666666677</v>
      </c>
      <c r="L11" s="12">
        <v>25031.708699999999</v>
      </c>
      <c r="M11" s="13">
        <v>43.177</v>
      </c>
      <c r="N11" s="13">
        <v>44.662300000000002</v>
      </c>
      <c r="O11" s="13">
        <v>43.958799999999997</v>
      </c>
      <c r="P11" s="13">
        <v>71146.256999999998</v>
      </c>
      <c r="Q11" s="13">
        <v>45.302</v>
      </c>
      <c r="R11" s="14">
        <f t="shared" si="1"/>
        <v>19.762849166666665</v>
      </c>
      <c r="S11" s="18">
        <f t="shared" si="2"/>
        <v>2.0051064843651378</v>
      </c>
      <c r="T11" s="18">
        <f t="shared" si="2"/>
        <v>1.0210742218315416</v>
      </c>
      <c r="U11" s="59"/>
      <c r="V11" s="41">
        <f>bdrate($D11:$D14,E11:E14,$L11:$L14,M11:M14)</f>
        <v>-1.7996599316495887E-2</v>
      </c>
      <c r="W11" s="46">
        <f>bdrate($D11:$D14,F11:F14,$L11:$L14,N11:N14)</f>
        <v>-3.2289794436993757E-3</v>
      </c>
      <c r="X11" s="46">
        <f>bdrate($D11:$D14,G11:G14,$L11:$L14,O11:O14)</f>
        <v>-5.5421678002169905E-3</v>
      </c>
      <c r="Y11" s="44">
        <f>bdrateOld($D11:$D14,E11:E14,$L11:$L14,M11:M14)</f>
        <v>-1.8296144733836561E-2</v>
      </c>
      <c r="Z11" s="48">
        <f>bdrateOld($D11:$D14,F11:F14,$L11:$L14,N11:N14)</f>
        <v>-2.7000259843968921E-3</v>
      </c>
      <c r="AA11" s="49">
        <f>bdrateOld($D11:$D14,G11:G14,$L11:$L14,O11:O14)</f>
        <v>-5.7037706481206651E-3</v>
      </c>
    </row>
    <row r="12" spans="1:27">
      <c r="A12" s="35"/>
      <c r="B12" s="35"/>
      <c r="C12" s="35">
        <v>27</v>
      </c>
      <c r="D12" s="17">
        <v>10275.062400000001</v>
      </c>
      <c r="E12" s="18">
        <v>39.3703</v>
      </c>
      <c r="F12" s="18">
        <v>41.0702</v>
      </c>
      <c r="G12" s="18">
        <v>41.656399999999998</v>
      </c>
      <c r="H12" s="18">
        <v>30045.651000000002</v>
      </c>
      <c r="I12" s="18">
        <v>31.195</v>
      </c>
      <c r="J12" s="19">
        <f t="shared" si="0"/>
        <v>8.3460141666666665</v>
      </c>
      <c r="L12" s="17">
        <v>10286.2634</v>
      </c>
      <c r="M12" s="18">
        <v>39.430700000000002</v>
      </c>
      <c r="N12" s="18">
        <v>41.076599999999999</v>
      </c>
      <c r="O12" s="18">
        <v>41.669400000000003</v>
      </c>
      <c r="P12" s="18">
        <v>60226.521000000001</v>
      </c>
      <c r="Q12" s="18">
        <v>30.878</v>
      </c>
      <c r="R12" s="19">
        <f t="shared" si="1"/>
        <v>16.729589166666667</v>
      </c>
      <c r="S12" s="18">
        <f t="shared" si="2"/>
        <v>2.0045004516627047</v>
      </c>
      <c r="T12" s="18">
        <f t="shared" si="2"/>
        <v>0.98983811508254527</v>
      </c>
      <c r="U12" s="59"/>
      <c r="V12" s="42"/>
      <c r="W12" s="25"/>
      <c r="X12" s="25"/>
      <c r="Y12" s="42"/>
      <c r="Z12" s="25"/>
      <c r="AA12" s="54"/>
    </row>
    <row r="13" spans="1:27">
      <c r="A13" s="35"/>
      <c r="B13" s="35"/>
      <c r="C13" s="35">
        <v>32</v>
      </c>
      <c r="D13" s="17">
        <v>4058.9281999999998</v>
      </c>
      <c r="E13" s="18">
        <v>37.231400000000001</v>
      </c>
      <c r="F13" s="18">
        <v>38.677100000000003</v>
      </c>
      <c r="G13" s="18">
        <v>40.134599999999999</v>
      </c>
      <c r="H13" s="18">
        <v>25473.468000000001</v>
      </c>
      <c r="I13" s="18">
        <v>28.106999999999999</v>
      </c>
      <c r="J13" s="19">
        <f t="shared" si="0"/>
        <v>7.0759633333333332</v>
      </c>
      <c r="L13" s="17">
        <v>4042.8245000000002</v>
      </c>
      <c r="M13" s="18">
        <v>37.267099999999999</v>
      </c>
      <c r="N13" s="18">
        <v>38.6815</v>
      </c>
      <c r="O13" s="18">
        <v>40.137099999999997</v>
      </c>
      <c r="P13" s="18">
        <v>52338.042000000001</v>
      </c>
      <c r="Q13" s="18">
        <v>25.535</v>
      </c>
      <c r="R13" s="19">
        <f t="shared" si="1"/>
        <v>14.538345</v>
      </c>
      <c r="S13" s="18">
        <f t="shared" si="2"/>
        <v>2.0546099965658384</v>
      </c>
      <c r="T13" s="18">
        <f t="shared" si="2"/>
        <v>0.90849254634076926</v>
      </c>
      <c r="U13" s="59"/>
      <c r="V13" s="42"/>
      <c r="W13" s="25"/>
      <c r="X13" s="25"/>
      <c r="Y13" s="42"/>
      <c r="Z13" s="25"/>
      <c r="AA13" s="54"/>
    </row>
    <row r="14" spans="1:27" ht="12.75" thickBot="1">
      <c r="A14" s="35"/>
      <c r="B14" s="36"/>
      <c r="C14" s="36">
        <v>37</v>
      </c>
      <c r="D14" s="22">
        <v>2208.5171</v>
      </c>
      <c r="E14" s="23">
        <v>35.887099999999997</v>
      </c>
      <c r="F14" s="23">
        <v>37.022199999999998</v>
      </c>
      <c r="G14" s="23">
        <v>38.982599999999998</v>
      </c>
      <c r="H14" s="23">
        <v>22006.368999999999</v>
      </c>
      <c r="I14" s="23">
        <v>20.492999999999999</v>
      </c>
      <c r="J14" s="24">
        <f t="shared" si="0"/>
        <v>6.1128802777777773</v>
      </c>
      <c r="L14" s="22">
        <v>2194.4920999999999</v>
      </c>
      <c r="M14" s="23">
        <v>35.909799999999997</v>
      </c>
      <c r="N14" s="23">
        <v>37.0227</v>
      </c>
      <c r="O14" s="23">
        <v>38.980699999999999</v>
      </c>
      <c r="P14" s="23">
        <v>44951.892</v>
      </c>
      <c r="Q14" s="23">
        <v>24.071999999999999</v>
      </c>
      <c r="R14" s="24">
        <f t="shared" si="1"/>
        <v>12.486636666666667</v>
      </c>
      <c r="S14" s="18">
        <f t="shared" si="2"/>
        <v>2.0426764633456798</v>
      </c>
      <c r="T14" s="18">
        <f t="shared" si="2"/>
        <v>1.1746450007319573</v>
      </c>
      <c r="U14" s="59"/>
      <c r="V14" s="43"/>
      <c r="W14" s="55"/>
      <c r="X14" s="55"/>
      <c r="Y14" s="43"/>
      <c r="Z14" s="55"/>
      <c r="AA14" s="56"/>
    </row>
    <row r="15" spans="1:27">
      <c r="A15" s="11" t="s">
        <v>73</v>
      </c>
      <c r="B15" s="11" t="s">
        <v>418</v>
      </c>
      <c r="C15" s="11">
        <v>22</v>
      </c>
      <c r="D15" s="12">
        <v>35351.1584</v>
      </c>
      <c r="E15" s="13">
        <v>42.0062</v>
      </c>
      <c r="F15" s="13">
        <v>42.753</v>
      </c>
      <c r="G15" s="13">
        <v>44.274999999999999</v>
      </c>
      <c r="H15" s="13">
        <v>37420.733999999997</v>
      </c>
      <c r="I15" s="13">
        <v>35.286000000000001</v>
      </c>
      <c r="J15" s="14">
        <f>H15/3600</f>
        <v>10.394648333333333</v>
      </c>
      <c r="L15" s="12">
        <v>35414.406300000002</v>
      </c>
      <c r="M15" s="13">
        <v>42.086799999999997</v>
      </c>
      <c r="N15" s="13">
        <v>42.758699999999997</v>
      </c>
      <c r="O15" s="13">
        <v>44.283000000000001</v>
      </c>
      <c r="P15" s="13">
        <v>76270.793000000005</v>
      </c>
      <c r="Q15" s="13">
        <v>35.993000000000002</v>
      </c>
      <c r="R15" s="14">
        <f>P15/3600</f>
        <v>21.186331388888892</v>
      </c>
      <c r="S15" s="13">
        <f>P15/H15</f>
        <v>2.0381960706596511</v>
      </c>
      <c r="T15" s="13">
        <f>Q15/I15</f>
        <v>1.020036275009919</v>
      </c>
      <c r="U15" s="58"/>
      <c r="V15" s="41">
        <f>bdrate($D15:$D18,E15:E18,$L15:$L18,M15:M18)</f>
        <v>-2.7636596501830923E-2</v>
      </c>
      <c r="W15" s="46">
        <f>bdrate($D15:$D18,F15:F18,$L15:$L18,N15:N18)</f>
        <v>-1.746758496910461E-2</v>
      </c>
      <c r="X15" s="47">
        <f>bdrate($D15:$D18,G15:G18,$L15:$L18,O15:O18)</f>
        <v>-1.6259791999919337E-2</v>
      </c>
      <c r="Y15" s="41">
        <f>bdrateOld($D15:$D18,E15:E18,$L15:$L18,M15:M18)</f>
        <v>-2.7335693193148325E-2</v>
      </c>
      <c r="Z15" s="46">
        <f>bdrateOld($D15:$D18,F15:F18,$L15:$L18,N15:N18)</f>
        <v>-1.7151325289066932E-2</v>
      </c>
      <c r="AA15" s="47">
        <f>bdrateOld($D15:$D18,G15:G18,$L15:$L18,O15:O18)</f>
        <v>-1.6381865317388722E-2</v>
      </c>
    </row>
    <row r="16" spans="1:27">
      <c r="A16" s="16" t="s">
        <v>46</v>
      </c>
      <c r="B16" s="16"/>
      <c r="C16" s="16">
        <v>27</v>
      </c>
      <c r="D16" s="17">
        <v>13100.4205</v>
      </c>
      <c r="E16" s="18">
        <v>39.787399999999998</v>
      </c>
      <c r="F16" s="18">
        <v>41.411200000000001</v>
      </c>
      <c r="G16" s="18">
        <v>42.506900000000002</v>
      </c>
      <c r="H16" s="18">
        <v>30639.853999999999</v>
      </c>
      <c r="I16" s="18">
        <v>27.93</v>
      </c>
      <c r="J16" s="19">
        <f t="shared" ref="J16:J26" si="3">H16/3600</f>
        <v>8.5110705555555555</v>
      </c>
      <c r="L16" s="17">
        <v>12930.881100000001</v>
      </c>
      <c r="M16" s="18">
        <v>39.822899999999997</v>
      </c>
      <c r="N16" s="18">
        <v>41.419199999999996</v>
      </c>
      <c r="O16" s="18">
        <v>42.517800000000001</v>
      </c>
      <c r="P16" s="18">
        <v>61421.377</v>
      </c>
      <c r="Q16" s="18">
        <v>28.425000000000001</v>
      </c>
      <c r="R16" s="19">
        <f t="shared" ref="R16:R26" si="4">P16/3600</f>
        <v>17.061493611111111</v>
      </c>
      <c r="S16" s="18">
        <f t="shared" ref="S16:T26" si="5">P16/H16</f>
        <v>2.0046236839118099</v>
      </c>
      <c r="T16" s="18">
        <f t="shared" si="5"/>
        <v>1.0177228786251342</v>
      </c>
      <c r="U16" s="59"/>
      <c r="V16" s="42"/>
      <c r="W16" s="25"/>
      <c r="X16" s="54"/>
      <c r="Y16" s="42"/>
      <c r="Z16" s="25"/>
      <c r="AA16" s="54"/>
    </row>
    <row r="17" spans="1:27">
      <c r="A17" s="16"/>
      <c r="B17" s="16"/>
      <c r="C17" s="16">
        <v>32</v>
      </c>
      <c r="D17" s="17">
        <v>7507.7273999999998</v>
      </c>
      <c r="E17" s="18">
        <v>38.4069</v>
      </c>
      <c r="F17" s="18">
        <v>40.5105</v>
      </c>
      <c r="G17" s="18">
        <v>41.031399999999998</v>
      </c>
      <c r="H17" s="18">
        <v>26949.008999999998</v>
      </c>
      <c r="I17" s="18">
        <v>26.826000000000001</v>
      </c>
      <c r="J17" s="19">
        <f t="shared" si="3"/>
        <v>7.4858358333333328</v>
      </c>
      <c r="L17" s="17">
        <v>7392.1674000000003</v>
      </c>
      <c r="M17" s="18">
        <v>38.438499999999998</v>
      </c>
      <c r="N17" s="18">
        <v>40.524500000000003</v>
      </c>
      <c r="O17" s="18">
        <v>41.040399999999998</v>
      </c>
      <c r="P17" s="18">
        <v>59836.053999999996</v>
      </c>
      <c r="Q17" s="18">
        <v>24.654</v>
      </c>
      <c r="R17" s="19">
        <f t="shared" si="4"/>
        <v>16.62112611111111</v>
      </c>
      <c r="S17" s="18">
        <f t="shared" si="5"/>
        <v>2.2203433899925598</v>
      </c>
      <c r="T17" s="18">
        <f t="shared" si="5"/>
        <v>0.91903377320509949</v>
      </c>
      <c r="U17" s="59"/>
      <c r="V17" s="42"/>
      <c r="W17" s="25"/>
      <c r="X17" s="54"/>
      <c r="Y17" s="42"/>
      <c r="Z17" s="25"/>
      <c r="AA17" s="54"/>
    </row>
    <row r="18" spans="1:27" ht="12.75" thickBot="1">
      <c r="A18" s="16"/>
      <c r="B18" s="21"/>
      <c r="C18" s="21">
        <v>37</v>
      </c>
      <c r="D18" s="22">
        <v>4481.9084000000003</v>
      </c>
      <c r="E18" s="23">
        <v>36.584299999999999</v>
      </c>
      <c r="F18" s="23">
        <v>39.756399999999999</v>
      </c>
      <c r="G18" s="23">
        <v>39.8371</v>
      </c>
      <c r="H18" s="23">
        <v>26285.127</v>
      </c>
      <c r="I18" s="23">
        <v>20.312999999999999</v>
      </c>
      <c r="J18" s="24">
        <f t="shared" si="3"/>
        <v>7.301424166666667</v>
      </c>
      <c r="L18" s="22">
        <v>4411.95</v>
      </c>
      <c r="M18" s="23">
        <v>36.613199999999999</v>
      </c>
      <c r="N18" s="23">
        <v>39.764299999999999</v>
      </c>
      <c r="O18" s="23">
        <v>39.847900000000003</v>
      </c>
      <c r="P18" s="23">
        <v>48977.453999999998</v>
      </c>
      <c r="Q18" s="23">
        <v>20.802</v>
      </c>
      <c r="R18" s="24">
        <f t="shared" si="4"/>
        <v>13.604848333333333</v>
      </c>
      <c r="S18" s="18">
        <f t="shared" si="5"/>
        <v>1.8633143374197887</v>
      </c>
      <c r="T18" s="18">
        <f t="shared" si="5"/>
        <v>1.0240732535814503</v>
      </c>
      <c r="U18" s="59"/>
      <c r="V18" s="43"/>
      <c r="W18" s="55"/>
      <c r="X18" s="56"/>
      <c r="Y18" s="43"/>
      <c r="Z18" s="55"/>
      <c r="AA18" s="56"/>
    </row>
    <row r="19" spans="1:27">
      <c r="A19" s="16"/>
      <c r="B19" s="16" t="s">
        <v>419</v>
      </c>
      <c r="C19" s="11">
        <v>22</v>
      </c>
      <c r="D19" s="12">
        <v>54951.577899999997</v>
      </c>
      <c r="E19" s="13">
        <v>40.742899999999999</v>
      </c>
      <c r="F19" s="13">
        <v>46.011099999999999</v>
      </c>
      <c r="G19" s="13">
        <v>44.220199999999998</v>
      </c>
      <c r="H19" s="13">
        <v>42245.303999999996</v>
      </c>
      <c r="I19" s="13">
        <v>49.725999999999999</v>
      </c>
      <c r="J19" s="14">
        <f t="shared" si="3"/>
        <v>11.734806666666666</v>
      </c>
      <c r="L19" s="12">
        <v>55172.017899999999</v>
      </c>
      <c r="M19" s="13">
        <v>40.833500000000001</v>
      </c>
      <c r="N19" s="13">
        <v>46.032699999999998</v>
      </c>
      <c r="O19" s="13">
        <v>44.234099999999998</v>
      </c>
      <c r="P19" s="13">
        <v>90978.346000000005</v>
      </c>
      <c r="Q19" s="13">
        <v>48.235999999999997</v>
      </c>
      <c r="R19" s="14">
        <f t="shared" si="4"/>
        <v>25.271762777777781</v>
      </c>
      <c r="S19" s="18">
        <f t="shared" si="5"/>
        <v>2.1535729983147953</v>
      </c>
      <c r="T19" s="18">
        <f t="shared" si="5"/>
        <v>0.97003579616297309</v>
      </c>
      <c r="U19" s="59"/>
      <c r="V19" s="41">
        <f>bdrate($D19:$D22,E19:E22,$L19:$L22,M19:M22)</f>
        <v>-2.7431481667764768E-2</v>
      </c>
      <c r="W19" s="46">
        <f>bdrate($D19:$D22,F19:F22,$L19:$L22,N19:N22)</f>
        <v>-2.201063141319537E-2</v>
      </c>
      <c r="X19" s="46">
        <f>bdrate($D19:$D22,G19:G22,$L19:$L22,O19:O22)</f>
        <v>-1.960472951026393E-2</v>
      </c>
      <c r="Y19" s="44">
        <f>bdrateOld($D19:$D22,E19:E22,$L19:$L22,M19:M22)</f>
        <v>-2.2763158827733609E-2</v>
      </c>
      <c r="Z19" s="48">
        <f>bdrateOld($D19:$D22,F19:F22,$L19:$L22,N19:N22)</f>
        <v>-2.2270994700739344E-2</v>
      </c>
      <c r="AA19" s="49">
        <f>bdrateOld($D19:$D22,G19:G22,$L19:$L22,O19:O22)</f>
        <v>-1.9716176082789638E-2</v>
      </c>
    </row>
    <row r="20" spans="1:27">
      <c r="A20" s="16"/>
      <c r="B20" s="16"/>
      <c r="C20" s="16">
        <v>27</v>
      </c>
      <c r="D20" s="17">
        <v>13393.248900000001</v>
      </c>
      <c r="E20" s="18">
        <v>37.708500000000001</v>
      </c>
      <c r="F20" s="18">
        <v>44.661499999999997</v>
      </c>
      <c r="G20" s="18">
        <v>42.553800000000003</v>
      </c>
      <c r="H20" s="18">
        <v>33774.156999999999</v>
      </c>
      <c r="I20" s="18">
        <v>27.088000000000001</v>
      </c>
      <c r="J20" s="19">
        <f t="shared" si="3"/>
        <v>9.3817102777777777</v>
      </c>
      <c r="L20" s="17">
        <v>13213.732099999999</v>
      </c>
      <c r="M20" s="18">
        <v>37.732399999999998</v>
      </c>
      <c r="N20" s="18">
        <v>44.673699999999997</v>
      </c>
      <c r="O20" s="18">
        <v>42.5642</v>
      </c>
      <c r="P20" s="18">
        <v>68048.828999999998</v>
      </c>
      <c r="Q20" s="18">
        <v>29.329000000000001</v>
      </c>
      <c r="R20" s="19">
        <f t="shared" si="4"/>
        <v>18.902452499999999</v>
      </c>
      <c r="S20" s="18">
        <f t="shared" si="5"/>
        <v>2.0148194668485728</v>
      </c>
      <c r="T20" s="18">
        <f t="shared" si="5"/>
        <v>1.082730360307147</v>
      </c>
      <c r="U20" s="59"/>
      <c r="V20" s="42"/>
      <c r="W20" s="25"/>
      <c r="X20" s="25"/>
      <c r="Y20" s="42"/>
      <c r="Z20" s="25"/>
      <c r="AA20" s="54"/>
    </row>
    <row r="21" spans="1:27">
      <c r="A21" s="16"/>
      <c r="B21" s="16"/>
      <c r="C21" s="16">
        <v>32</v>
      </c>
      <c r="D21" s="17">
        <v>7192.98</v>
      </c>
      <c r="E21" s="18">
        <v>36.6524</v>
      </c>
      <c r="F21" s="18">
        <v>43.446399999999997</v>
      </c>
      <c r="G21" s="18">
        <v>41.213999999999999</v>
      </c>
      <c r="H21" s="18">
        <v>28249.811000000002</v>
      </c>
      <c r="I21" s="18">
        <v>24.119</v>
      </c>
      <c r="J21" s="19">
        <f t="shared" si="3"/>
        <v>7.8471697222222225</v>
      </c>
      <c r="L21" s="17">
        <v>7073.3020999999999</v>
      </c>
      <c r="M21" s="18">
        <v>36.680999999999997</v>
      </c>
      <c r="N21" s="18">
        <v>43.454300000000003</v>
      </c>
      <c r="O21" s="18">
        <v>41.226300000000002</v>
      </c>
      <c r="P21" s="18">
        <v>54472.436000000002</v>
      </c>
      <c r="Q21" s="18">
        <v>24.701000000000001</v>
      </c>
      <c r="R21" s="19">
        <f t="shared" si="4"/>
        <v>15.131232222222224</v>
      </c>
      <c r="S21" s="18">
        <f t="shared" si="5"/>
        <v>1.9282407234512118</v>
      </c>
      <c r="T21" s="18">
        <f t="shared" si="5"/>
        <v>1.0241303536630872</v>
      </c>
      <c r="U21" s="59"/>
      <c r="V21" s="42"/>
      <c r="W21" s="25"/>
      <c r="X21" s="25"/>
      <c r="Y21" s="42"/>
      <c r="Z21" s="25"/>
      <c r="AA21" s="54"/>
    </row>
    <row r="22" spans="1:27" ht="12.75" thickBot="1">
      <c r="A22" s="16"/>
      <c r="B22" s="21"/>
      <c r="C22" s="21">
        <v>37</v>
      </c>
      <c r="D22" s="22">
        <v>3981.2195000000002</v>
      </c>
      <c r="E22" s="23">
        <v>35.217700000000001</v>
      </c>
      <c r="F22" s="23">
        <v>42.510100000000001</v>
      </c>
      <c r="G22" s="23">
        <v>40.208300000000001</v>
      </c>
      <c r="H22" s="23">
        <v>25609.126</v>
      </c>
      <c r="I22" s="23">
        <v>19.722999999999999</v>
      </c>
      <c r="J22" s="24">
        <f t="shared" si="3"/>
        <v>7.1136461111111116</v>
      </c>
      <c r="L22" s="22">
        <v>3914.7979</v>
      </c>
      <c r="M22" s="23">
        <v>35.248199999999997</v>
      </c>
      <c r="N22" s="23">
        <v>42.517299999999999</v>
      </c>
      <c r="O22" s="23">
        <v>40.220100000000002</v>
      </c>
      <c r="P22" s="23">
        <v>51021.339</v>
      </c>
      <c r="Q22" s="23">
        <v>21.242999999999999</v>
      </c>
      <c r="R22" s="24">
        <f t="shared" si="4"/>
        <v>14.172594166666666</v>
      </c>
      <c r="S22" s="18">
        <f t="shared" si="5"/>
        <v>1.9923108270075285</v>
      </c>
      <c r="T22" s="18">
        <f t="shared" si="5"/>
        <v>1.077067383258125</v>
      </c>
      <c r="U22" s="59"/>
      <c r="V22" s="43"/>
      <c r="W22" s="55"/>
      <c r="X22" s="55"/>
      <c r="Y22" s="43"/>
      <c r="Z22" s="55"/>
      <c r="AA22" s="56"/>
    </row>
    <row r="23" spans="1:27">
      <c r="A23" s="35"/>
      <c r="B23" s="16" t="s">
        <v>420</v>
      </c>
      <c r="C23" s="34">
        <v>22</v>
      </c>
      <c r="D23" s="12">
        <v>55586.478900000002</v>
      </c>
      <c r="E23" s="13">
        <v>45.768599999999999</v>
      </c>
      <c r="F23" s="13">
        <v>41.098599999999998</v>
      </c>
      <c r="G23" s="13">
        <v>41.490200000000002</v>
      </c>
      <c r="H23" s="13">
        <v>33784.239999999998</v>
      </c>
      <c r="I23" s="13">
        <v>36.886000000000003</v>
      </c>
      <c r="J23" s="14">
        <f t="shared" si="3"/>
        <v>9.3845111111111112</v>
      </c>
      <c r="L23" s="12">
        <v>55249.860500000003</v>
      </c>
      <c r="M23" s="13">
        <v>45.932699999999997</v>
      </c>
      <c r="N23" s="13">
        <v>41.111600000000003</v>
      </c>
      <c r="O23" s="13">
        <v>41.505600000000001</v>
      </c>
      <c r="P23" s="13">
        <v>75352.975999999995</v>
      </c>
      <c r="Q23" s="13">
        <v>39.052999999999997</v>
      </c>
      <c r="R23" s="14">
        <f t="shared" si="4"/>
        <v>20.931382222222222</v>
      </c>
      <c r="S23" s="18">
        <f t="shared" si="5"/>
        <v>2.2304179700357327</v>
      </c>
      <c r="T23" s="18">
        <f t="shared" si="5"/>
        <v>1.0587485766957652</v>
      </c>
      <c r="U23" s="59"/>
      <c r="V23" s="41">
        <f>bdrate($D23:$D26,E23:E26,$L23:$L26,M23:M26)</f>
        <v>-2.409940545348932E-2</v>
      </c>
      <c r="W23" s="46">
        <f>bdrate($D23:$D26,F23:F26,$L23:$L26,N23:N26)</f>
        <v>-9.5417274165604526E-3</v>
      </c>
      <c r="X23" s="46">
        <f>bdrate($D23:$D26,G23:G26,$L23:$L26,O23:O26)</f>
        <v>-1.2189067256598851E-2</v>
      </c>
      <c r="Y23" s="44">
        <f>bdrateOld($D23:$D26,E23:E26,$L23:$L26,M23:M26)</f>
        <v>-2.4102950616900931E-2</v>
      </c>
      <c r="Z23" s="48">
        <f>bdrateOld($D23:$D26,F23:F26,$L23:$L26,N23:N26)</f>
        <v>-9.3446069213535266E-3</v>
      </c>
      <c r="AA23" s="49">
        <f>bdrateOld($D23:$D26,G23:G26,$L23:$L26,O23:O26)</f>
        <v>-1.1820841980677455E-2</v>
      </c>
    </row>
    <row r="24" spans="1:27">
      <c r="A24" s="35"/>
      <c r="B24" s="16"/>
      <c r="C24" s="35">
        <v>27</v>
      </c>
      <c r="D24" s="17">
        <v>31694.1</v>
      </c>
      <c r="E24" s="18">
        <v>42.005800000000001</v>
      </c>
      <c r="F24" s="18">
        <v>37.318100000000001</v>
      </c>
      <c r="G24" s="18">
        <v>38.161099999999998</v>
      </c>
      <c r="H24" s="18">
        <v>33519.069000000003</v>
      </c>
      <c r="I24" s="18">
        <v>32.072000000000003</v>
      </c>
      <c r="J24" s="19">
        <f t="shared" si="3"/>
        <v>9.3108525000000011</v>
      </c>
      <c r="L24" s="17">
        <v>31536.298699999999</v>
      </c>
      <c r="M24" s="18">
        <v>42.135199999999998</v>
      </c>
      <c r="N24" s="18">
        <v>37.335799999999999</v>
      </c>
      <c r="O24" s="18">
        <v>38.186100000000003</v>
      </c>
      <c r="P24" s="18">
        <v>70188.546000000002</v>
      </c>
      <c r="Q24" s="18">
        <v>31.937999999999999</v>
      </c>
      <c r="R24" s="19">
        <f t="shared" si="4"/>
        <v>19.496818333333334</v>
      </c>
      <c r="S24" s="18">
        <f t="shared" si="5"/>
        <v>2.0939885293353462</v>
      </c>
      <c r="T24" s="18">
        <f t="shared" si="5"/>
        <v>0.99582190072337229</v>
      </c>
      <c r="U24" s="59"/>
      <c r="V24" s="42"/>
      <c r="W24" s="25"/>
      <c r="X24" s="25"/>
      <c r="Y24" s="42"/>
      <c r="Z24" s="25"/>
      <c r="AA24" s="54"/>
    </row>
    <row r="25" spans="1:27">
      <c r="A25" s="35"/>
      <c r="B25" s="35"/>
      <c r="C25" s="35">
        <v>32</v>
      </c>
      <c r="D25" s="17">
        <v>17726.963199999998</v>
      </c>
      <c r="E25" s="18">
        <v>38.432600000000001</v>
      </c>
      <c r="F25" s="18">
        <v>34.744300000000003</v>
      </c>
      <c r="G25" s="18">
        <v>35.883400000000002</v>
      </c>
      <c r="H25" s="18">
        <v>31581.303</v>
      </c>
      <c r="I25" s="18">
        <v>29.584</v>
      </c>
      <c r="J25" s="19">
        <f t="shared" si="3"/>
        <v>8.7725841666666664</v>
      </c>
      <c r="L25" s="17">
        <v>17624.206600000001</v>
      </c>
      <c r="M25" s="18">
        <v>38.530500000000004</v>
      </c>
      <c r="N25" s="18">
        <v>34.766399999999997</v>
      </c>
      <c r="O25" s="18">
        <v>35.917400000000001</v>
      </c>
      <c r="P25" s="18">
        <v>65432.05</v>
      </c>
      <c r="Q25" s="18">
        <v>30.334</v>
      </c>
      <c r="R25" s="19">
        <f t="shared" si="4"/>
        <v>18.175569444444445</v>
      </c>
      <c r="S25" s="18">
        <f t="shared" si="5"/>
        <v>2.0718603662426469</v>
      </c>
      <c r="T25" s="18">
        <f t="shared" si="5"/>
        <v>1.0253515413737155</v>
      </c>
      <c r="U25" s="59"/>
      <c r="V25" s="42"/>
      <c r="W25" s="25"/>
      <c r="X25" s="25"/>
      <c r="Y25" s="42"/>
      <c r="Z25" s="25"/>
      <c r="AA25" s="54"/>
    </row>
    <row r="26" spans="1:27" ht="12.75" thickBot="1">
      <c r="A26" s="35"/>
      <c r="B26" s="36"/>
      <c r="C26" s="36">
        <v>37</v>
      </c>
      <c r="D26" s="22">
        <v>9766.6684000000005</v>
      </c>
      <c r="E26" s="23">
        <v>35.153700000000001</v>
      </c>
      <c r="F26" s="23">
        <v>32.997300000000003</v>
      </c>
      <c r="G26" s="23">
        <v>34.349800000000002</v>
      </c>
      <c r="H26" s="23">
        <v>28339.977999999999</v>
      </c>
      <c r="I26" s="23">
        <v>24.960999999999999</v>
      </c>
      <c r="J26" s="24">
        <f t="shared" si="3"/>
        <v>7.8722161111111113</v>
      </c>
      <c r="L26" s="22">
        <v>9713.0223999999998</v>
      </c>
      <c r="M26" s="23">
        <v>35.240400000000001</v>
      </c>
      <c r="N26" s="23">
        <v>33.019500000000001</v>
      </c>
      <c r="O26" s="23">
        <v>34.381700000000002</v>
      </c>
      <c r="P26" s="23">
        <v>57418.368000000002</v>
      </c>
      <c r="Q26" s="23">
        <v>28.18</v>
      </c>
      <c r="R26" s="24">
        <f t="shared" si="4"/>
        <v>15.949546666666667</v>
      </c>
      <c r="S26" s="18">
        <f t="shared" si="5"/>
        <v>2.026055489527903</v>
      </c>
      <c r="T26" s="18">
        <f t="shared" si="5"/>
        <v>1.1289611794399264</v>
      </c>
      <c r="U26" s="59"/>
      <c r="V26" s="43"/>
      <c r="W26" s="55"/>
      <c r="X26" s="55"/>
      <c r="Y26" s="43"/>
      <c r="Z26" s="55"/>
      <c r="AA26" s="56"/>
    </row>
    <row r="27" spans="1:27">
      <c r="A27" s="11" t="s">
        <v>1</v>
      </c>
      <c r="B27" s="11" t="s">
        <v>422</v>
      </c>
      <c r="C27" s="11">
        <v>22</v>
      </c>
      <c r="D27" s="12">
        <v>11260.42</v>
      </c>
      <c r="E27" s="13">
        <v>42.567300000000003</v>
      </c>
      <c r="F27" s="13">
        <v>45.205300000000001</v>
      </c>
      <c r="G27" s="13">
        <v>45.600099999999998</v>
      </c>
      <c r="H27" s="13">
        <v>21505.159</v>
      </c>
      <c r="I27" s="13">
        <v>27.393999999999998</v>
      </c>
      <c r="J27" s="14">
        <f>H27/3600</f>
        <v>5.9736552777777776</v>
      </c>
      <c r="L27" s="12">
        <v>11157.488799999999</v>
      </c>
      <c r="M27" s="13">
        <v>42.651299999999999</v>
      </c>
      <c r="N27" s="13">
        <v>45.225000000000001</v>
      </c>
      <c r="O27" s="13">
        <v>45.607900000000001</v>
      </c>
      <c r="P27" s="13">
        <v>45655.243000000002</v>
      </c>
      <c r="Q27" s="13">
        <v>27.934999999999999</v>
      </c>
      <c r="R27" s="14">
        <f>P27/3600</f>
        <v>12.682011944444445</v>
      </c>
      <c r="S27" s="13">
        <f>P27/H27</f>
        <v>2.1229902555010174</v>
      </c>
      <c r="T27" s="13">
        <f>Q27/I27</f>
        <v>1.0197488501131635</v>
      </c>
      <c r="U27" s="58"/>
      <c r="V27" s="41">
        <f>bdrate($D27:$D30,E27:E30,$L27:$L30,M27:M30)</f>
        <v>-3.1337461172359249E-2</v>
      </c>
      <c r="W27" s="46">
        <f>bdrate($D27:$D30,F27:F30,$L27:$L30,N27:N30)</f>
        <v>-1.5382045995267823E-2</v>
      </c>
      <c r="X27" s="47">
        <f>bdrate($D27:$D30,G27:G30,$L27:$L30,O27:O30)</f>
        <v>-9.7705110818632201E-3</v>
      </c>
      <c r="Y27" s="41">
        <f>bdrateOld($D27:$D30,E27:E30,$L27:$L30,M27:M30)</f>
        <v>-3.1331281030525515E-2</v>
      </c>
      <c r="Z27" s="46">
        <f>bdrateOld($D27:$D30,F27:F30,$L27:$L30,N27:N30)</f>
        <v>-1.5553553650220264E-2</v>
      </c>
      <c r="AA27" s="47">
        <f>bdrateOld($D27:$D30,G27:G30,$L27:$L30,O27:O30)</f>
        <v>-9.5286794829939625E-3</v>
      </c>
    </row>
    <row r="28" spans="1:27">
      <c r="A28" s="16" t="s">
        <v>47</v>
      </c>
      <c r="B28" s="16"/>
      <c r="C28" s="16">
        <v>27</v>
      </c>
      <c r="D28" s="17">
        <v>6106.9888000000001</v>
      </c>
      <c r="E28" s="18">
        <v>39.9709</v>
      </c>
      <c r="F28" s="18">
        <v>42.859900000000003</v>
      </c>
      <c r="G28" s="18">
        <v>43.630299999999998</v>
      </c>
      <c r="H28" s="18">
        <v>19177.812999999998</v>
      </c>
      <c r="I28" s="18">
        <v>22.584</v>
      </c>
      <c r="J28" s="19">
        <f t="shared" ref="J28:J46" si="6">H28/3600</f>
        <v>5.3271702777777774</v>
      </c>
      <c r="L28" s="17">
        <v>6027.8112000000001</v>
      </c>
      <c r="M28" s="18">
        <v>40.052500000000002</v>
      </c>
      <c r="N28" s="18">
        <v>42.871899999999997</v>
      </c>
      <c r="O28" s="18">
        <v>43.627400000000002</v>
      </c>
      <c r="P28" s="18">
        <v>41588.599000000002</v>
      </c>
      <c r="Q28" s="18">
        <v>23.004000000000001</v>
      </c>
      <c r="R28" s="19">
        <f t="shared" ref="R28:R46" si="7">P28/3600</f>
        <v>11.552388611111112</v>
      </c>
      <c r="S28" s="18">
        <f t="shared" ref="S28:T46" si="8">P28/H28</f>
        <v>2.1685788155302173</v>
      </c>
      <c r="T28" s="18">
        <f t="shared" si="8"/>
        <v>1.0185972369819343</v>
      </c>
      <c r="U28" s="59"/>
      <c r="V28" s="42"/>
      <c r="W28" s="25"/>
      <c r="X28" s="54"/>
      <c r="Y28" s="42"/>
      <c r="Z28" s="25"/>
      <c r="AA28" s="54"/>
    </row>
    <row r="29" spans="1:27">
      <c r="A29" s="16"/>
      <c r="B29" s="16"/>
      <c r="C29" s="16">
        <v>32</v>
      </c>
      <c r="D29" s="17">
        <v>3397.4384</v>
      </c>
      <c r="E29" s="18">
        <v>37.507300000000001</v>
      </c>
      <c r="F29" s="18">
        <v>41.192300000000003</v>
      </c>
      <c r="G29" s="18">
        <v>42.2149</v>
      </c>
      <c r="H29" s="18">
        <v>17061.069</v>
      </c>
      <c r="I29" s="18">
        <v>37.966000000000001</v>
      </c>
      <c r="J29" s="19">
        <f t="shared" si="6"/>
        <v>4.739185833333333</v>
      </c>
      <c r="L29" s="17">
        <v>3362.5183999999999</v>
      </c>
      <c r="M29" s="18">
        <v>37.602400000000003</v>
      </c>
      <c r="N29" s="18">
        <v>41.202800000000003</v>
      </c>
      <c r="O29" s="18">
        <v>42.212499999999999</v>
      </c>
      <c r="P29" s="18">
        <v>40694.936999999998</v>
      </c>
      <c r="Q29" s="18">
        <v>19.771000000000001</v>
      </c>
      <c r="R29" s="19">
        <f t="shared" si="7"/>
        <v>11.304149166666667</v>
      </c>
      <c r="S29" s="18">
        <f t="shared" si="8"/>
        <v>2.3852512993177624</v>
      </c>
      <c r="T29" s="18">
        <f t="shared" si="8"/>
        <v>0.52075541273771264</v>
      </c>
      <c r="U29" s="59"/>
      <c r="V29" s="42"/>
      <c r="W29" s="25"/>
      <c r="X29" s="54"/>
      <c r="Y29" s="42"/>
      <c r="Z29" s="25"/>
      <c r="AA29" s="54"/>
    </row>
    <row r="30" spans="1:27" ht="12.75" thickBot="1">
      <c r="A30" s="16"/>
      <c r="B30" s="21"/>
      <c r="C30" s="21">
        <v>37</v>
      </c>
      <c r="D30" s="22">
        <v>1805.8584000000001</v>
      </c>
      <c r="E30" s="23">
        <v>34.979300000000002</v>
      </c>
      <c r="F30" s="23">
        <v>40.086599999999997</v>
      </c>
      <c r="G30" s="23">
        <v>41.146799999999999</v>
      </c>
      <c r="H30" s="23">
        <v>19273.945</v>
      </c>
      <c r="I30" s="23">
        <v>16.294</v>
      </c>
      <c r="J30" s="24">
        <f t="shared" si="6"/>
        <v>5.3538736111111112</v>
      </c>
      <c r="L30" s="22">
        <v>1799.7080000000001</v>
      </c>
      <c r="M30" s="23">
        <v>35.076999999999998</v>
      </c>
      <c r="N30" s="23">
        <v>40.101599999999998</v>
      </c>
      <c r="O30" s="23">
        <v>41.137599999999999</v>
      </c>
      <c r="P30" s="23">
        <v>41550.004999999997</v>
      </c>
      <c r="Q30" s="23">
        <v>17.016999999999999</v>
      </c>
      <c r="R30" s="24">
        <f t="shared" si="7"/>
        <v>11.541668055555554</v>
      </c>
      <c r="S30" s="18">
        <f t="shared" si="8"/>
        <v>2.1557602763731034</v>
      </c>
      <c r="T30" s="18">
        <f t="shared" si="8"/>
        <v>1.0443721615318522</v>
      </c>
      <c r="U30" s="59"/>
      <c r="V30" s="43"/>
      <c r="W30" s="55"/>
      <c r="X30" s="56"/>
      <c r="Y30" s="43"/>
      <c r="Z30" s="55"/>
      <c r="AA30" s="56"/>
    </row>
    <row r="31" spans="1:27">
      <c r="A31" s="16"/>
      <c r="B31" s="11" t="s">
        <v>421</v>
      </c>
      <c r="C31" s="11">
        <v>22</v>
      </c>
      <c r="D31" s="12">
        <v>6757.2439999999997</v>
      </c>
      <c r="E31" s="13">
        <v>45.696300000000001</v>
      </c>
      <c r="F31" s="13">
        <v>48.207500000000003</v>
      </c>
      <c r="G31" s="13">
        <v>48.924500000000002</v>
      </c>
      <c r="H31" s="13">
        <v>19883.514999999999</v>
      </c>
      <c r="I31" s="13">
        <v>15.507999999999999</v>
      </c>
      <c r="J31" s="14">
        <f t="shared" si="6"/>
        <v>5.5231986111111109</v>
      </c>
      <c r="L31" s="12">
        <v>6654.7704000000003</v>
      </c>
      <c r="M31" s="13">
        <v>45.801000000000002</v>
      </c>
      <c r="N31" s="13">
        <v>48.215200000000003</v>
      </c>
      <c r="O31" s="13">
        <v>48.9343</v>
      </c>
      <c r="P31" s="13">
        <v>47225.012000000002</v>
      </c>
      <c r="Q31" s="13">
        <v>19.201000000000001</v>
      </c>
      <c r="R31" s="14">
        <f t="shared" si="7"/>
        <v>13.118058888888889</v>
      </c>
      <c r="S31" s="18">
        <f t="shared" si="8"/>
        <v>2.3750836811298206</v>
      </c>
      <c r="T31" s="18">
        <f t="shared" si="8"/>
        <v>1.2381351560484912</v>
      </c>
      <c r="U31" s="59"/>
      <c r="V31" s="41">
        <f>bdrate($D31:$D34,E31:E34,$L31:$L34,M31:M34)</f>
        <v>-3.4309624278226258E-2</v>
      </c>
      <c r="W31" s="46">
        <f>bdrate($D31:$D34,F31:F34,$L31:$L34,N31:N34)</f>
        <v>-1.7876604674727958E-2</v>
      </c>
      <c r="X31" s="46">
        <f>bdrate($D31:$D34,G31:G34,$L31:$L34,O31:O34)</f>
        <v>-1.6729251545176682E-2</v>
      </c>
      <c r="Y31" s="44">
        <f>bdrateOld($D31:$D34,E31:E34,$L31:$L34,M31:M34)</f>
        <v>-3.4303481955542781E-2</v>
      </c>
      <c r="Z31" s="48">
        <f>bdrateOld($D31:$D34,F31:F34,$L31:$L34,N31:N34)</f>
        <v>-1.7428162720522722E-2</v>
      </c>
      <c r="AA31" s="49">
        <f>bdrateOld($D31:$D34,G31:G34,$L31:$L34,O31:O34)</f>
        <v>-1.6727872602415927E-2</v>
      </c>
    </row>
    <row r="32" spans="1:27">
      <c r="A32" s="16"/>
      <c r="B32" s="16"/>
      <c r="C32" s="16">
        <v>27</v>
      </c>
      <c r="D32" s="17">
        <v>3900.2103999999999</v>
      </c>
      <c r="E32" s="18">
        <v>42.807899999999997</v>
      </c>
      <c r="F32" s="18">
        <v>45.7395</v>
      </c>
      <c r="G32" s="18">
        <v>46.267499999999998</v>
      </c>
      <c r="H32" s="18">
        <v>19036.334999999999</v>
      </c>
      <c r="I32" s="18">
        <v>23.716999999999999</v>
      </c>
      <c r="J32" s="19">
        <f t="shared" si="6"/>
        <v>5.2878708333333329</v>
      </c>
      <c r="L32" s="17">
        <v>3837.5655999999999</v>
      </c>
      <c r="M32" s="18">
        <v>42.914499999999997</v>
      </c>
      <c r="N32" s="18">
        <v>45.743699999999997</v>
      </c>
      <c r="O32" s="18">
        <v>46.273099999999999</v>
      </c>
      <c r="P32" s="18">
        <v>38827.125999999997</v>
      </c>
      <c r="Q32" s="18">
        <v>23.103000000000002</v>
      </c>
      <c r="R32" s="19">
        <f t="shared" si="7"/>
        <v>10.785312777777778</v>
      </c>
      <c r="S32" s="18">
        <f t="shared" si="8"/>
        <v>2.039632418740267</v>
      </c>
      <c r="T32" s="18">
        <f t="shared" si="8"/>
        <v>0.97411139688830806</v>
      </c>
      <c r="U32" s="59"/>
      <c r="V32" s="42"/>
      <c r="W32" s="25"/>
      <c r="X32" s="25"/>
      <c r="Y32" s="42"/>
      <c r="Z32" s="25"/>
      <c r="AA32" s="54"/>
    </row>
    <row r="33" spans="1:27">
      <c r="A33" s="16"/>
      <c r="B33" s="16"/>
      <c r="C33" s="16">
        <v>32</v>
      </c>
      <c r="D33" s="17">
        <v>2181.2415999999998</v>
      </c>
      <c r="E33" s="18">
        <v>39.866999999999997</v>
      </c>
      <c r="F33" s="18">
        <v>43.823300000000003</v>
      </c>
      <c r="G33" s="18">
        <v>44.195799999999998</v>
      </c>
      <c r="H33" s="18">
        <v>19669.419999999998</v>
      </c>
      <c r="I33" s="18">
        <v>16.358000000000001</v>
      </c>
      <c r="J33" s="19">
        <f t="shared" si="6"/>
        <v>5.4637277777777769</v>
      </c>
      <c r="L33" s="17">
        <v>2148.1264000000001</v>
      </c>
      <c r="M33" s="18">
        <v>39.9617</v>
      </c>
      <c r="N33" s="18">
        <v>43.838799999999999</v>
      </c>
      <c r="O33" s="18">
        <v>44.199199999999998</v>
      </c>
      <c r="P33" s="18">
        <v>41860.237999999998</v>
      </c>
      <c r="Q33" s="18">
        <v>19.861999999999998</v>
      </c>
      <c r="R33" s="19">
        <f t="shared" si="7"/>
        <v>11.627843888888888</v>
      </c>
      <c r="S33" s="18">
        <f t="shared" si="8"/>
        <v>2.1281887315436858</v>
      </c>
      <c r="T33" s="18">
        <f t="shared" si="8"/>
        <v>1.2142071157843255</v>
      </c>
      <c r="U33" s="59"/>
      <c r="V33" s="42"/>
      <c r="W33" s="25"/>
      <c r="X33" s="25"/>
      <c r="Y33" s="42"/>
      <c r="Z33" s="25"/>
      <c r="AA33" s="54"/>
    </row>
    <row r="34" spans="1:27" ht="12.75" thickBot="1">
      <c r="A34" s="16"/>
      <c r="B34" s="21"/>
      <c r="C34" s="21">
        <v>37</v>
      </c>
      <c r="D34" s="22">
        <v>1191.3607999999999</v>
      </c>
      <c r="E34" s="23">
        <v>36.985599999999998</v>
      </c>
      <c r="F34" s="23">
        <v>42.508699999999997</v>
      </c>
      <c r="G34" s="23">
        <v>42.726999999999997</v>
      </c>
      <c r="H34" s="23">
        <v>14428.413</v>
      </c>
      <c r="I34" s="23">
        <v>32.613999999999997</v>
      </c>
      <c r="J34" s="24">
        <f t="shared" si="6"/>
        <v>4.0078925000000005</v>
      </c>
      <c r="L34" s="22">
        <v>1174.7752</v>
      </c>
      <c r="M34" s="23">
        <v>37.061199999999999</v>
      </c>
      <c r="N34" s="23">
        <v>42.509099999999997</v>
      </c>
      <c r="O34" s="23">
        <v>42.727499999999999</v>
      </c>
      <c r="P34" s="23">
        <v>35381.667999999998</v>
      </c>
      <c r="Q34" s="23">
        <v>16.559000000000001</v>
      </c>
      <c r="R34" s="24">
        <f t="shared" si="7"/>
        <v>9.8282411111111099</v>
      </c>
      <c r="S34" s="18">
        <f t="shared" si="8"/>
        <v>2.452221737761457</v>
      </c>
      <c r="T34" s="18">
        <f t="shared" si="8"/>
        <v>0.50772674311645316</v>
      </c>
      <c r="U34" s="59"/>
      <c r="V34" s="43"/>
      <c r="W34" s="55"/>
      <c r="X34" s="55"/>
      <c r="Y34" s="43"/>
      <c r="Z34" s="55"/>
      <c r="AA34" s="56"/>
    </row>
    <row r="35" spans="1:27">
      <c r="A35" s="16"/>
      <c r="B35" s="11" t="s">
        <v>2</v>
      </c>
      <c r="C35" s="11">
        <v>22</v>
      </c>
      <c r="D35" s="12">
        <v>13354.884099999999</v>
      </c>
      <c r="E35" s="13">
        <v>40.721600000000002</v>
      </c>
      <c r="F35" s="13">
        <v>41.990299999999998</v>
      </c>
      <c r="G35" s="13">
        <v>44.487200000000001</v>
      </c>
      <c r="H35" s="13">
        <v>23120.996999999999</v>
      </c>
      <c r="I35" s="13">
        <v>22.253</v>
      </c>
      <c r="J35" s="14">
        <f t="shared" si="6"/>
        <v>6.4224991666666664</v>
      </c>
      <c r="L35" s="12">
        <v>13395.1968</v>
      </c>
      <c r="M35" s="13">
        <v>40.838900000000002</v>
      </c>
      <c r="N35" s="13">
        <v>41.997599999999998</v>
      </c>
      <c r="O35" s="13">
        <v>44.500799999999998</v>
      </c>
      <c r="P35" s="13">
        <v>48478.673000000003</v>
      </c>
      <c r="Q35" s="13">
        <v>24.315999999999999</v>
      </c>
      <c r="R35" s="14">
        <f t="shared" si="7"/>
        <v>13.466298055555557</v>
      </c>
      <c r="S35" s="18">
        <f t="shared" si="8"/>
        <v>2.09673799966325</v>
      </c>
      <c r="T35" s="18">
        <f t="shared" si="8"/>
        <v>1.0927066013571203</v>
      </c>
      <c r="U35" s="59"/>
      <c r="V35" s="41">
        <f>bdrate($D35:$D38,E35:E38,$L35:$L38,M35:M38)</f>
        <v>-2.9750930654462326E-2</v>
      </c>
      <c r="W35" s="46">
        <f>bdrate($D35:$D38,F35:F38,$L35:$L38,N35:N38)</f>
        <v>-8.7774667425413178E-3</v>
      </c>
      <c r="X35" s="46">
        <f>bdrate($D35:$D38,G35:G38,$L35:$L38,O35:O38)</f>
        <v>-1.1190768642830862E-2</v>
      </c>
      <c r="Y35" s="44">
        <f>bdrateOld($D35:$D38,E35:E38,$L35:$L38,M35:M38)</f>
        <v>-2.9653295871921892E-2</v>
      </c>
      <c r="Z35" s="48">
        <f>bdrateOld($D35:$D38,F35:F38,$L35:$L38,N35:N38)</f>
        <v>-9.4317011841741349E-3</v>
      </c>
      <c r="AA35" s="49">
        <f>bdrateOld($D35:$D38,G35:G38,$L35:$L38,O35:O38)</f>
        <v>-1.1193379399568326E-2</v>
      </c>
    </row>
    <row r="36" spans="1:27">
      <c r="A36" s="16"/>
      <c r="B36" s="16"/>
      <c r="C36" s="16">
        <v>27</v>
      </c>
      <c r="D36" s="17">
        <v>6109.2357000000002</v>
      </c>
      <c r="E36" s="18">
        <v>38.060699999999997</v>
      </c>
      <c r="F36" s="18">
        <v>39.627699999999997</v>
      </c>
      <c r="G36" s="18">
        <v>42.366399999999999</v>
      </c>
      <c r="H36" s="18">
        <v>19133.132000000001</v>
      </c>
      <c r="I36" s="18">
        <v>20.47</v>
      </c>
      <c r="J36" s="19">
        <f t="shared" si="6"/>
        <v>5.314758888888889</v>
      </c>
      <c r="L36" s="17">
        <v>6051.5309999999999</v>
      </c>
      <c r="M36" s="18">
        <v>38.129300000000001</v>
      </c>
      <c r="N36" s="18">
        <v>39.634300000000003</v>
      </c>
      <c r="O36" s="18">
        <v>42.3765</v>
      </c>
      <c r="P36" s="18">
        <v>39740.847000000002</v>
      </c>
      <c r="Q36" s="18">
        <v>24.763999999999999</v>
      </c>
      <c r="R36" s="19">
        <f t="shared" si="7"/>
        <v>11.039124166666667</v>
      </c>
      <c r="S36" s="18">
        <f t="shared" si="8"/>
        <v>2.0770696088857799</v>
      </c>
      <c r="T36" s="18">
        <f t="shared" si="8"/>
        <v>1.209770395701026</v>
      </c>
      <c r="U36" s="59"/>
      <c r="V36" s="42"/>
      <c r="W36" s="25"/>
      <c r="X36" s="25"/>
      <c r="Y36" s="42"/>
      <c r="Z36" s="25"/>
      <c r="AA36" s="54"/>
    </row>
    <row r="37" spans="1:27">
      <c r="A37" s="16"/>
      <c r="B37" s="16"/>
      <c r="C37" s="16">
        <v>32</v>
      </c>
      <c r="D37" s="17">
        <v>3284.5189999999998</v>
      </c>
      <c r="E37" s="18">
        <v>35.864600000000003</v>
      </c>
      <c r="F37" s="18">
        <v>38.550400000000003</v>
      </c>
      <c r="G37" s="18">
        <v>40.699100000000001</v>
      </c>
      <c r="H37" s="18">
        <v>17896.376</v>
      </c>
      <c r="I37" s="18">
        <v>22.484000000000002</v>
      </c>
      <c r="J37" s="19">
        <f t="shared" si="6"/>
        <v>4.9712155555555553</v>
      </c>
      <c r="L37" s="17">
        <v>3252.7952</v>
      </c>
      <c r="M37" s="18">
        <v>35.945300000000003</v>
      </c>
      <c r="N37" s="18">
        <v>38.5518</v>
      </c>
      <c r="O37" s="18">
        <v>40.7089</v>
      </c>
      <c r="P37" s="18">
        <v>34631.438999999998</v>
      </c>
      <c r="Q37" s="18">
        <v>42.69</v>
      </c>
      <c r="R37" s="19">
        <f t="shared" si="7"/>
        <v>9.6198441666666668</v>
      </c>
      <c r="S37" s="18">
        <f t="shared" si="8"/>
        <v>1.9351090410706613</v>
      </c>
      <c r="T37" s="18">
        <f t="shared" si="8"/>
        <v>1.8986835082725491</v>
      </c>
      <c r="U37" s="59"/>
      <c r="V37" s="42"/>
      <c r="W37" s="25"/>
      <c r="X37" s="25"/>
      <c r="Y37" s="42"/>
      <c r="Z37" s="25"/>
      <c r="AA37" s="54"/>
    </row>
    <row r="38" spans="1:27" ht="12.75" thickBot="1">
      <c r="A38" s="16"/>
      <c r="B38" s="21"/>
      <c r="C38" s="21">
        <v>37</v>
      </c>
      <c r="D38" s="22">
        <v>1757.8436999999999</v>
      </c>
      <c r="E38" s="23">
        <v>33.498199999999997</v>
      </c>
      <c r="F38" s="23">
        <v>37.755000000000003</v>
      </c>
      <c r="G38" s="23">
        <v>39.442</v>
      </c>
      <c r="H38" s="23">
        <v>14529.359</v>
      </c>
      <c r="I38" s="23">
        <v>50.965000000000003</v>
      </c>
      <c r="J38" s="24">
        <f t="shared" si="6"/>
        <v>4.0359330555555557</v>
      </c>
      <c r="L38" s="22">
        <v>1744.1627000000001</v>
      </c>
      <c r="M38" s="23">
        <v>33.571899999999999</v>
      </c>
      <c r="N38" s="23">
        <v>37.755000000000003</v>
      </c>
      <c r="O38" s="23">
        <v>39.444499999999998</v>
      </c>
      <c r="P38" s="23">
        <v>33568.366999999998</v>
      </c>
      <c r="Q38" s="23">
        <v>34.887999999999998</v>
      </c>
      <c r="R38" s="24">
        <f t="shared" si="7"/>
        <v>9.3245463888888889</v>
      </c>
      <c r="S38" s="18">
        <f t="shared" si="8"/>
        <v>2.3103818275809687</v>
      </c>
      <c r="T38" s="18">
        <f t="shared" si="8"/>
        <v>0.68454821936623167</v>
      </c>
      <c r="U38" s="59"/>
      <c r="V38" s="43"/>
      <c r="W38" s="55"/>
      <c r="X38" s="55"/>
      <c r="Y38" s="43"/>
      <c r="Z38" s="55"/>
      <c r="AA38" s="56"/>
    </row>
    <row r="39" spans="1:27">
      <c r="A39" s="16"/>
      <c r="B39" s="11" t="s">
        <v>3</v>
      </c>
      <c r="C39" s="11">
        <v>22</v>
      </c>
      <c r="D39" s="12">
        <v>8545.6254000000008</v>
      </c>
      <c r="E39" s="13">
        <v>41.301200000000001</v>
      </c>
      <c r="F39" s="13">
        <v>44.740200000000002</v>
      </c>
      <c r="G39" s="13">
        <v>46.492100000000001</v>
      </c>
      <c r="H39" s="13">
        <v>24183.069</v>
      </c>
      <c r="I39" s="13">
        <v>16.98</v>
      </c>
      <c r="J39" s="14">
        <f t="shared" si="6"/>
        <v>6.7175191666666665</v>
      </c>
      <c r="L39" s="12">
        <v>8512.2062999999998</v>
      </c>
      <c r="M39" s="13">
        <v>41.350200000000001</v>
      </c>
      <c r="N39" s="13">
        <v>44.756500000000003</v>
      </c>
      <c r="O39" s="13">
        <v>46.523299999999999</v>
      </c>
      <c r="P39" s="13">
        <v>44098.940999999999</v>
      </c>
      <c r="Q39" s="13">
        <v>29.631</v>
      </c>
      <c r="R39" s="14">
        <f t="shared" si="7"/>
        <v>12.249705833333334</v>
      </c>
      <c r="S39" s="18">
        <f t="shared" si="8"/>
        <v>1.8235460933432395</v>
      </c>
      <c r="T39" s="18">
        <f t="shared" si="8"/>
        <v>1.745053003533569</v>
      </c>
      <c r="U39" s="59"/>
      <c r="V39" s="41">
        <f>bdrate($D39:$D42,E39:E42,$L39:$L42,M39:M42)</f>
        <v>-2.620557508727106E-2</v>
      </c>
      <c r="W39" s="46">
        <f>bdrate($D39:$D42,F39:F42,$L39:$L42,N39:N42)</f>
        <v>-1.6384483929924309E-2</v>
      </c>
      <c r="X39" s="46">
        <f>bdrate($D39:$D42,G39:G42,$L39:$L42,O39:O42)</f>
        <v>-1.7018907442969411E-2</v>
      </c>
      <c r="Y39" s="44">
        <f>bdrateOld($D39:$D42,E39:E42,$L39:$L42,M39:M42)</f>
        <v>-2.6231694553738194E-2</v>
      </c>
      <c r="Z39" s="48">
        <f>bdrateOld($D39:$D42,F39:F42,$L39:$L42,N39:N42)</f>
        <v>-1.6263239393576656E-2</v>
      </c>
      <c r="AA39" s="49">
        <f>bdrateOld($D39:$D42,G39:G42,$L39:$L42,O39:O42)</f>
        <v>-1.7052469389978842E-2</v>
      </c>
    </row>
    <row r="40" spans="1:27">
      <c r="A40" s="16"/>
      <c r="B40" s="16"/>
      <c r="C40" s="16">
        <v>27</v>
      </c>
      <c r="D40" s="17">
        <v>3594.2269999999999</v>
      </c>
      <c r="E40" s="18">
        <v>38.881900000000002</v>
      </c>
      <c r="F40" s="18">
        <v>43.383699999999997</v>
      </c>
      <c r="G40" s="18">
        <v>44.513300000000001</v>
      </c>
      <c r="H40" s="18">
        <v>18889.306</v>
      </c>
      <c r="I40" s="18">
        <v>21.241</v>
      </c>
      <c r="J40" s="19">
        <f t="shared" si="6"/>
        <v>5.2470294444444443</v>
      </c>
      <c r="L40" s="17">
        <v>3563.2516000000001</v>
      </c>
      <c r="M40" s="18">
        <v>38.932299999999998</v>
      </c>
      <c r="N40" s="18">
        <v>43.398600000000002</v>
      </c>
      <c r="O40" s="18">
        <v>44.533499999999997</v>
      </c>
      <c r="P40" s="18">
        <v>36885.029000000002</v>
      </c>
      <c r="Q40" s="18">
        <v>25.27</v>
      </c>
      <c r="R40" s="19">
        <f t="shared" si="7"/>
        <v>10.24584138888889</v>
      </c>
      <c r="S40" s="18">
        <f t="shared" si="8"/>
        <v>1.9526937093400891</v>
      </c>
      <c r="T40" s="18">
        <f t="shared" si="8"/>
        <v>1.189680335200791</v>
      </c>
      <c r="U40" s="59"/>
      <c r="V40" s="42"/>
      <c r="W40" s="25"/>
      <c r="X40" s="25"/>
      <c r="Y40" s="42"/>
      <c r="Z40" s="25"/>
      <c r="AA40" s="54"/>
    </row>
    <row r="41" spans="1:27">
      <c r="A41" s="16"/>
      <c r="B41" s="16"/>
      <c r="C41" s="16">
        <v>32</v>
      </c>
      <c r="D41" s="17">
        <v>1874.1959999999999</v>
      </c>
      <c r="E41" s="18">
        <v>37.180100000000003</v>
      </c>
      <c r="F41" s="18">
        <v>42.106699999999996</v>
      </c>
      <c r="G41" s="18">
        <v>42.7012</v>
      </c>
      <c r="H41" s="18">
        <v>18420.798999999999</v>
      </c>
      <c r="I41" s="18">
        <v>18.914999999999999</v>
      </c>
      <c r="J41" s="19">
        <f t="shared" si="6"/>
        <v>5.1168886111111105</v>
      </c>
      <c r="L41" s="17">
        <v>1849.2023999999999</v>
      </c>
      <c r="M41" s="18">
        <v>37.224299999999999</v>
      </c>
      <c r="N41" s="18">
        <v>42.114899999999999</v>
      </c>
      <c r="O41" s="18">
        <v>42.710700000000003</v>
      </c>
      <c r="P41" s="18">
        <v>31328.413</v>
      </c>
      <c r="Q41" s="18">
        <v>37.832000000000001</v>
      </c>
      <c r="R41" s="19">
        <f t="shared" si="7"/>
        <v>8.7023369444444452</v>
      </c>
      <c r="S41" s="18">
        <f t="shared" si="8"/>
        <v>1.7007086934719826</v>
      </c>
      <c r="T41" s="18">
        <f t="shared" si="8"/>
        <v>2.0001057361882104</v>
      </c>
      <c r="U41" s="59"/>
      <c r="V41" s="42"/>
      <c r="W41" s="25"/>
      <c r="X41" s="25"/>
      <c r="Y41" s="42"/>
      <c r="Z41" s="25"/>
      <c r="AA41" s="54"/>
    </row>
    <row r="42" spans="1:27" ht="12.75" thickBot="1">
      <c r="A42" s="16"/>
      <c r="B42" s="21"/>
      <c r="C42" s="21">
        <v>37</v>
      </c>
      <c r="D42" s="22">
        <v>1043.2405000000001</v>
      </c>
      <c r="E42" s="23">
        <v>35.308</v>
      </c>
      <c r="F42" s="23">
        <v>41.048499999999997</v>
      </c>
      <c r="G42" s="23">
        <v>41.260399999999997</v>
      </c>
      <c r="H42" s="23">
        <v>17332.174999999999</v>
      </c>
      <c r="I42" s="23">
        <v>14.97</v>
      </c>
      <c r="J42" s="24">
        <f t="shared" si="6"/>
        <v>4.8144930555555554</v>
      </c>
      <c r="L42" s="22">
        <v>1027.9262000000001</v>
      </c>
      <c r="M42" s="23">
        <v>35.341299999999997</v>
      </c>
      <c r="N42" s="23">
        <v>41.043500000000002</v>
      </c>
      <c r="O42" s="23">
        <v>41.268099999999997</v>
      </c>
      <c r="P42" s="23">
        <v>31394.477999999999</v>
      </c>
      <c r="Q42" s="23">
        <v>29.641999999999999</v>
      </c>
      <c r="R42" s="24">
        <f t="shared" si="7"/>
        <v>8.7206883333333334</v>
      </c>
      <c r="S42" s="18">
        <f t="shared" si="8"/>
        <v>1.8113409309564437</v>
      </c>
      <c r="T42" s="18">
        <f t="shared" si="8"/>
        <v>1.9800935203740815</v>
      </c>
      <c r="U42" s="59"/>
      <c r="V42" s="43"/>
      <c r="W42" s="55"/>
      <c r="X42" s="55"/>
      <c r="Y42" s="43"/>
      <c r="Z42" s="55"/>
      <c r="AA42" s="56"/>
    </row>
    <row r="43" spans="1:27">
      <c r="A43" s="16"/>
      <c r="B43" s="11" t="s">
        <v>4</v>
      </c>
      <c r="C43" s="11">
        <v>22</v>
      </c>
      <c r="D43" s="12">
        <v>22895.561600000001</v>
      </c>
      <c r="E43" s="13">
        <v>42.721499999999999</v>
      </c>
      <c r="F43" s="13">
        <v>42.864199999999997</v>
      </c>
      <c r="G43" s="13">
        <v>44.607100000000003</v>
      </c>
      <c r="H43" s="13">
        <v>25808.135999999999</v>
      </c>
      <c r="I43" s="13">
        <v>28.126999999999999</v>
      </c>
      <c r="J43" s="14">
        <f t="shared" si="6"/>
        <v>7.1689266666666667</v>
      </c>
      <c r="L43" s="12">
        <v>22800.641599999999</v>
      </c>
      <c r="M43" s="13">
        <v>42.737499999999997</v>
      </c>
      <c r="N43" s="13">
        <v>42.883299999999998</v>
      </c>
      <c r="O43" s="13">
        <v>44.627400000000002</v>
      </c>
      <c r="P43" s="13">
        <v>48997.455999999998</v>
      </c>
      <c r="Q43" s="13">
        <v>29.853999999999999</v>
      </c>
      <c r="R43" s="14">
        <f t="shared" si="7"/>
        <v>13.610404444444445</v>
      </c>
      <c r="S43" s="18">
        <f t="shared" si="8"/>
        <v>1.8985275031098721</v>
      </c>
      <c r="T43" s="18">
        <f t="shared" si="8"/>
        <v>1.0614000782166602</v>
      </c>
      <c r="U43" s="59"/>
      <c r="V43" s="41">
        <f>bdrate($D43:$D46,E43:E46,$L43:$L46,M43:M46)</f>
        <v>-1.7201690849229734E-2</v>
      </c>
      <c r="W43" s="46">
        <f>bdrate($D43:$D46,F43:F46,$L43:$L46,N43:N46)</f>
        <v>-1.5374055777340856E-2</v>
      </c>
      <c r="X43" s="46">
        <f>bdrate($D43:$D46,G43:G46,$L43:$L46,O43:O46)</f>
        <v>-1.7626385957947743E-2</v>
      </c>
      <c r="Y43" s="44">
        <f>bdrateOld($D43:$D46,E43:E46,$L43:$L46,M43:M46)</f>
        <v>-1.6561922407603902E-2</v>
      </c>
      <c r="Z43" s="48">
        <f>bdrateOld($D43:$D46,F43:F46,$L43:$L46,N43:N46)</f>
        <v>-1.5526829774955009E-2</v>
      </c>
      <c r="AA43" s="49">
        <f>bdrateOld($D43:$D46,G43:G46,$L43:$L46,O43:O46)</f>
        <v>-1.7529244620701379E-2</v>
      </c>
    </row>
    <row r="44" spans="1:27">
      <c r="A44" s="16"/>
      <c r="B44" s="16"/>
      <c r="C44" s="16">
        <v>27</v>
      </c>
      <c r="D44" s="17">
        <v>9946.4968000000008</v>
      </c>
      <c r="E44" s="18">
        <v>37.2044</v>
      </c>
      <c r="F44" s="18">
        <v>41.063099999999999</v>
      </c>
      <c r="G44" s="18">
        <v>43.19</v>
      </c>
      <c r="H44" s="18">
        <v>23000.541000000001</v>
      </c>
      <c r="I44" s="18">
        <v>29.283999999999999</v>
      </c>
      <c r="J44" s="19">
        <f t="shared" si="6"/>
        <v>6.3890391666666666</v>
      </c>
      <c r="L44" s="17">
        <v>9881.9503999999997</v>
      </c>
      <c r="M44" s="18">
        <v>37.2562</v>
      </c>
      <c r="N44" s="18">
        <v>41.088900000000002</v>
      </c>
      <c r="O44" s="18">
        <v>43.211799999999997</v>
      </c>
      <c r="P44" s="18">
        <v>46855.629000000001</v>
      </c>
      <c r="Q44" s="18">
        <v>35.387999999999998</v>
      </c>
      <c r="R44" s="19">
        <f t="shared" si="7"/>
        <v>13.0154525</v>
      </c>
      <c r="S44" s="18">
        <f t="shared" si="8"/>
        <v>2.0371533434800511</v>
      </c>
      <c r="T44" s="18">
        <f t="shared" si="8"/>
        <v>1.2084414697445705</v>
      </c>
      <c r="U44" s="59"/>
      <c r="V44" s="42"/>
      <c r="W44" s="25"/>
      <c r="X44" s="25"/>
      <c r="Y44" s="42"/>
      <c r="Z44" s="25"/>
      <c r="AA44" s="54"/>
    </row>
    <row r="45" spans="1:27">
      <c r="A45" s="16"/>
      <c r="B45" s="16"/>
      <c r="C45" s="16">
        <v>32</v>
      </c>
      <c r="D45" s="17">
        <v>5056.1264000000001</v>
      </c>
      <c r="E45" s="18">
        <v>34.639899999999997</v>
      </c>
      <c r="F45" s="18">
        <v>39.651600000000002</v>
      </c>
      <c r="G45" s="18">
        <v>42.0105</v>
      </c>
      <c r="H45" s="18">
        <v>19142.468000000001</v>
      </c>
      <c r="I45" s="18">
        <v>27.634</v>
      </c>
      <c r="J45" s="19">
        <f t="shared" si="6"/>
        <v>5.3173522222222225</v>
      </c>
      <c r="L45" s="17">
        <v>5023.3280000000004</v>
      </c>
      <c r="M45" s="18">
        <v>34.715000000000003</v>
      </c>
      <c r="N45" s="18">
        <v>39.663899999999998</v>
      </c>
      <c r="O45" s="18">
        <v>42.028399999999998</v>
      </c>
      <c r="P45" s="18">
        <v>39080.21</v>
      </c>
      <c r="Q45" s="18">
        <v>25.006</v>
      </c>
      <c r="R45" s="19">
        <f t="shared" si="7"/>
        <v>10.855613888888888</v>
      </c>
      <c r="S45" s="18">
        <f t="shared" si="8"/>
        <v>2.0415450087209233</v>
      </c>
      <c r="T45" s="18">
        <f t="shared" si="8"/>
        <v>0.90489976116378379</v>
      </c>
      <c r="U45" s="59"/>
      <c r="V45" s="42"/>
      <c r="W45" s="25"/>
      <c r="X45" s="25"/>
      <c r="Y45" s="42"/>
      <c r="Z45" s="25"/>
      <c r="AA45" s="54"/>
    </row>
    <row r="46" spans="1:27" ht="12.75" thickBot="1">
      <c r="A46" s="21"/>
      <c r="B46" s="21"/>
      <c r="C46" s="21">
        <v>37</v>
      </c>
      <c r="D46" s="22">
        <v>2702.3431999999998</v>
      </c>
      <c r="E46" s="23">
        <v>32.245899999999999</v>
      </c>
      <c r="F46" s="23">
        <v>38.639299999999999</v>
      </c>
      <c r="G46" s="23">
        <v>41.133000000000003</v>
      </c>
      <c r="H46" s="23">
        <v>16209.623</v>
      </c>
      <c r="I46" s="23">
        <v>44.906999999999996</v>
      </c>
      <c r="J46" s="24">
        <f t="shared" si="6"/>
        <v>4.5026730555555554</v>
      </c>
      <c r="L46" s="22">
        <v>2691.8944000000001</v>
      </c>
      <c r="M46" s="23">
        <v>32.324599999999997</v>
      </c>
      <c r="N46" s="23">
        <v>38.650500000000001</v>
      </c>
      <c r="O46" s="23">
        <v>41.145699999999998</v>
      </c>
      <c r="P46" s="23">
        <v>37821.256999999998</v>
      </c>
      <c r="Q46" s="23">
        <v>24.998999999999999</v>
      </c>
      <c r="R46" s="24">
        <f t="shared" si="7"/>
        <v>10.505904722222221</v>
      </c>
      <c r="S46" s="18">
        <f t="shared" si="8"/>
        <v>2.3332595088732169</v>
      </c>
      <c r="T46" s="18">
        <f t="shared" si="8"/>
        <v>0.55668381321397553</v>
      </c>
      <c r="U46" s="59"/>
      <c r="V46" s="43"/>
      <c r="W46" s="55"/>
      <c r="X46" s="55"/>
      <c r="Y46" s="43"/>
      <c r="Z46" s="55"/>
      <c r="AA46" s="56"/>
    </row>
    <row r="47" spans="1:27">
      <c r="A47" s="11" t="s">
        <v>5</v>
      </c>
      <c r="B47" s="11" t="s">
        <v>53</v>
      </c>
      <c r="C47" s="11">
        <v>22</v>
      </c>
      <c r="D47" s="12">
        <v>2594.0547999999999</v>
      </c>
      <c r="E47" s="13">
        <v>41.97</v>
      </c>
      <c r="F47" s="13">
        <v>44.186100000000003</v>
      </c>
      <c r="G47" s="13">
        <v>44.857900000000001</v>
      </c>
      <c r="H47" s="13">
        <v>2910.3429999999998</v>
      </c>
      <c r="I47" s="13">
        <v>4.7089999999999996</v>
      </c>
      <c r="J47" s="14">
        <f>H47/3600</f>
        <v>0.80842861111111108</v>
      </c>
      <c r="L47" s="12">
        <v>2573.7332999999999</v>
      </c>
      <c r="M47" s="13">
        <v>42.057699999999997</v>
      </c>
      <c r="N47" s="13">
        <v>44.1999</v>
      </c>
      <c r="O47" s="13">
        <v>44.883899999999997</v>
      </c>
      <c r="P47" s="13">
        <v>5877.67</v>
      </c>
      <c r="Q47" s="13">
        <v>4.6550000000000002</v>
      </c>
      <c r="R47" s="14">
        <f>P47/3600</f>
        <v>1.6326861111111111</v>
      </c>
      <c r="S47" s="13">
        <f>P47/H47</f>
        <v>2.0195798227219268</v>
      </c>
      <c r="T47" s="13">
        <f>Q47/I47</f>
        <v>0.98853259715438535</v>
      </c>
      <c r="U47" s="58"/>
      <c r="V47" s="41">
        <f>bdrate($D47:$D50,E47:E50,$L47:$L50,M47:M50)</f>
        <v>-2.101071062984039E-2</v>
      </c>
      <c r="W47" s="46">
        <f>bdrate($D47:$D50,F47:F50,$L47:$L50,N47:N50)</f>
        <v>-1.112289639190811E-2</v>
      </c>
      <c r="X47" s="47">
        <f>bdrate($D47:$D50,G47:G50,$L47:$L50,O47:O50)</f>
        <v>-1.6280015975974171E-2</v>
      </c>
      <c r="Y47" s="41">
        <f>bdrateOld($D47:$D50,E47:E50,$L47:$L50,M47:M50)</f>
        <v>-2.1062510041931493E-2</v>
      </c>
      <c r="Z47" s="46">
        <f>bdrateOld($D47:$D50,F47:F50,$L47:$L50,N47:N50)</f>
        <v>-1.0928958067492722E-2</v>
      </c>
      <c r="AA47" s="47">
        <f>bdrateOld($D47:$D50,G47:G50,$L47:$L50,O47:O50)</f>
        <v>-1.5928080666667066E-2</v>
      </c>
    </row>
    <row r="48" spans="1:27">
      <c r="A48" s="16" t="s">
        <v>48</v>
      </c>
      <c r="B48" s="16"/>
      <c r="C48" s="16">
        <v>27</v>
      </c>
      <c r="D48" s="17">
        <v>1401.8468</v>
      </c>
      <c r="E48" s="18">
        <v>38.544800000000002</v>
      </c>
      <c r="F48" s="18">
        <v>41.518300000000004</v>
      </c>
      <c r="G48" s="18">
        <v>41.801600000000001</v>
      </c>
      <c r="H48" s="18">
        <v>2501.0909999999999</v>
      </c>
      <c r="I48" s="18">
        <v>3.2160000000000002</v>
      </c>
      <c r="J48" s="19">
        <f t="shared" ref="J48:J62" si="9">H48/3600</f>
        <v>0.69474749999999996</v>
      </c>
      <c r="L48" s="17">
        <v>1390.3802000000001</v>
      </c>
      <c r="M48" s="18">
        <v>38.619399999999999</v>
      </c>
      <c r="N48" s="18">
        <v>41.535800000000002</v>
      </c>
      <c r="O48" s="18">
        <v>41.834000000000003</v>
      </c>
      <c r="P48" s="18">
        <v>5074.9530000000004</v>
      </c>
      <c r="Q48" s="18">
        <v>3.2480000000000002</v>
      </c>
      <c r="R48" s="19">
        <f t="shared" ref="R48:R62" si="10">P48/3600</f>
        <v>1.4097091666666668</v>
      </c>
      <c r="S48" s="18">
        <f t="shared" ref="S48:T62" si="11">P48/H48</f>
        <v>2.0290957026353702</v>
      </c>
      <c r="T48" s="18">
        <f t="shared" si="11"/>
        <v>1.0099502487562189</v>
      </c>
      <c r="U48" s="59"/>
      <c r="V48" s="42"/>
      <c r="W48" s="25"/>
      <c r="X48" s="54"/>
      <c r="Y48" s="42"/>
      <c r="Z48" s="25"/>
      <c r="AA48" s="54"/>
    </row>
    <row r="49" spans="1:27">
      <c r="A49" s="16"/>
      <c r="B49" s="16"/>
      <c r="C49" s="16">
        <v>32</v>
      </c>
      <c r="D49" s="17">
        <v>745.86429999999996</v>
      </c>
      <c r="E49" s="18">
        <v>35.587499999999999</v>
      </c>
      <c r="F49" s="18">
        <v>39.4009</v>
      </c>
      <c r="G49" s="18">
        <v>39.436799999999998</v>
      </c>
      <c r="H49" s="18">
        <v>2010.598</v>
      </c>
      <c r="I49" s="18">
        <v>2.4550000000000001</v>
      </c>
      <c r="J49" s="19">
        <f t="shared" si="9"/>
        <v>0.55849944444444444</v>
      </c>
      <c r="L49" s="17">
        <v>740.64760000000001</v>
      </c>
      <c r="M49" s="18">
        <v>35.645499999999998</v>
      </c>
      <c r="N49" s="18">
        <v>39.414499999999997</v>
      </c>
      <c r="O49" s="18">
        <v>39.479399999999998</v>
      </c>
      <c r="P49" s="18">
        <v>3909.8739999999998</v>
      </c>
      <c r="Q49" s="18">
        <v>2.4380000000000002</v>
      </c>
      <c r="R49" s="19">
        <f t="shared" si="10"/>
        <v>1.086076111111111</v>
      </c>
      <c r="S49" s="18">
        <f t="shared" si="11"/>
        <v>1.9446323929497591</v>
      </c>
      <c r="T49" s="18">
        <f t="shared" si="11"/>
        <v>0.99307535641547862</v>
      </c>
      <c r="U49" s="59"/>
      <c r="V49" s="42"/>
      <c r="W49" s="25"/>
      <c r="X49" s="54"/>
      <c r="Y49" s="42"/>
      <c r="Z49" s="25"/>
      <c r="AA49" s="54"/>
    </row>
    <row r="50" spans="1:27" ht="12.75" thickBot="1">
      <c r="A50" s="16"/>
      <c r="B50" s="21"/>
      <c r="C50" s="21">
        <v>37</v>
      </c>
      <c r="D50" s="22">
        <v>408.4357</v>
      </c>
      <c r="E50" s="23">
        <v>32.961500000000001</v>
      </c>
      <c r="F50" s="23">
        <v>37.799999999999997</v>
      </c>
      <c r="G50" s="23">
        <v>37.698900000000002</v>
      </c>
      <c r="H50" s="23">
        <v>1533.7470000000001</v>
      </c>
      <c r="I50" s="23">
        <v>2.242</v>
      </c>
      <c r="J50" s="24">
        <f t="shared" si="9"/>
        <v>0.42604083333333337</v>
      </c>
      <c r="L50" s="22">
        <v>405.25630000000001</v>
      </c>
      <c r="M50" s="23">
        <v>33.002600000000001</v>
      </c>
      <c r="N50" s="23">
        <v>37.786700000000003</v>
      </c>
      <c r="O50" s="23">
        <v>37.717399999999998</v>
      </c>
      <c r="P50" s="23">
        <v>3115.933</v>
      </c>
      <c r="Q50" s="23">
        <v>2.3340000000000001</v>
      </c>
      <c r="R50" s="24">
        <f t="shared" si="10"/>
        <v>0.8655369444444444</v>
      </c>
      <c r="S50" s="18">
        <f t="shared" si="11"/>
        <v>2.0315821318639906</v>
      </c>
      <c r="T50" s="18">
        <f t="shared" si="11"/>
        <v>1.0410347903657449</v>
      </c>
      <c r="U50" s="59"/>
      <c r="V50" s="43"/>
      <c r="W50" s="55"/>
      <c r="X50" s="56"/>
      <c r="Y50" s="43"/>
      <c r="Z50" s="55"/>
      <c r="AA50" s="56"/>
    </row>
    <row r="51" spans="1:27">
      <c r="A51" s="16"/>
      <c r="B51" s="11" t="s">
        <v>37</v>
      </c>
      <c r="C51" s="11">
        <v>22</v>
      </c>
      <c r="D51" s="12">
        <v>2919.8447999999999</v>
      </c>
      <c r="E51" s="13">
        <v>42.127800000000001</v>
      </c>
      <c r="F51" s="13">
        <v>44.525399999999998</v>
      </c>
      <c r="G51" s="13">
        <v>46.023000000000003</v>
      </c>
      <c r="H51" s="13">
        <v>3267.4160000000002</v>
      </c>
      <c r="I51" s="13">
        <v>4.5279999999999996</v>
      </c>
      <c r="J51" s="14">
        <f t="shared" si="9"/>
        <v>0.90761555555555562</v>
      </c>
      <c r="L51" s="12">
        <v>2893.0672</v>
      </c>
      <c r="M51" s="13">
        <v>42.210599999999999</v>
      </c>
      <c r="N51" s="13">
        <v>44.534100000000002</v>
      </c>
      <c r="O51" s="13">
        <v>46.040999999999997</v>
      </c>
      <c r="P51" s="13">
        <v>6671.9930000000004</v>
      </c>
      <c r="Q51" s="13">
        <v>4.5</v>
      </c>
      <c r="R51" s="14">
        <f t="shared" si="10"/>
        <v>1.8533313888888889</v>
      </c>
      <c r="S51" s="18">
        <f t="shared" si="11"/>
        <v>2.0419784318862368</v>
      </c>
      <c r="T51" s="18">
        <f t="shared" si="11"/>
        <v>0.9938162544169612</v>
      </c>
      <c r="U51" s="59"/>
      <c r="V51" s="41">
        <f>bdrate($D51:$D54,E51:E54,$L51:$L54,M51:M54)</f>
        <v>-2.4991734393295495E-2</v>
      </c>
      <c r="W51" s="46">
        <f>bdrate($D51:$D54,F51:F54,$L51:$L54,N51:N54)</f>
        <v>-1.4730140561582616E-2</v>
      </c>
      <c r="X51" s="46">
        <f>bdrate($D51:$D54,G51:G54,$L51:$L54,O51:O54)</f>
        <v>-1.4728973859929662E-2</v>
      </c>
      <c r="Y51" s="44">
        <f>bdrateOld($D51:$D54,E51:E54,$L51:$L54,M51:M54)</f>
        <v>-2.4982903829903425E-2</v>
      </c>
      <c r="Z51" s="48">
        <f>bdrateOld($D51:$D54,F51:F54,$L51:$L54,N51:N54)</f>
        <v>-1.488604556807327E-2</v>
      </c>
      <c r="AA51" s="49">
        <f>bdrateOld($D51:$D54,G51:G54,$L51:$L54,O51:O54)</f>
        <v>-1.4531694535420803E-2</v>
      </c>
    </row>
    <row r="52" spans="1:27">
      <c r="A52" s="16"/>
      <c r="B52" s="16"/>
      <c r="C52" s="16">
        <v>27</v>
      </c>
      <c r="D52" s="17">
        <v>1749.6768</v>
      </c>
      <c r="E52" s="18">
        <v>39.270099999999999</v>
      </c>
      <c r="F52" s="18">
        <v>42.174300000000002</v>
      </c>
      <c r="G52" s="18">
        <v>43.388100000000001</v>
      </c>
      <c r="H52" s="18">
        <v>2796.21</v>
      </c>
      <c r="I52" s="18">
        <v>3.8759999999999999</v>
      </c>
      <c r="J52" s="19">
        <f t="shared" si="9"/>
        <v>0.776725</v>
      </c>
      <c r="L52" s="17">
        <v>1731.4736</v>
      </c>
      <c r="M52" s="18">
        <v>39.358199999999997</v>
      </c>
      <c r="N52" s="18">
        <v>42.1967</v>
      </c>
      <c r="O52" s="18">
        <v>43.4086</v>
      </c>
      <c r="P52" s="18">
        <v>5640.1850000000004</v>
      </c>
      <c r="Q52" s="18">
        <v>3.552</v>
      </c>
      <c r="R52" s="19">
        <f t="shared" si="10"/>
        <v>1.5667180555555558</v>
      </c>
      <c r="S52" s="18">
        <f t="shared" si="11"/>
        <v>2.0170820503467195</v>
      </c>
      <c r="T52" s="18">
        <f t="shared" si="11"/>
        <v>0.91640866873065019</v>
      </c>
      <c r="U52" s="59"/>
      <c r="V52" s="42"/>
      <c r="W52" s="25"/>
      <c r="X52" s="25"/>
      <c r="Y52" s="42"/>
      <c r="Z52" s="25"/>
      <c r="AA52" s="54"/>
    </row>
    <row r="53" spans="1:27">
      <c r="A53" s="16"/>
      <c r="B53" s="16"/>
      <c r="C53" s="16">
        <v>32</v>
      </c>
      <c r="D53" s="17">
        <v>1021.5504</v>
      </c>
      <c r="E53" s="18">
        <v>36.256</v>
      </c>
      <c r="F53" s="18">
        <v>40.303899999999999</v>
      </c>
      <c r="G53" s="18">
        <v>41.293500000000002</v>
      </c>
      <c r="H53" s="18">
        <v>2362.6529999999998</v>
      </c>
      <c r="I53" s="18">
        <v>2.7370000000000001</v>
      </c>
      <c r="J53" s="19">
        <f t="shared" si="9"/>
        <v>0.65629249999999995</v>
      </c>
      <c r="L53" s="17">
        <v>1011.2744</v>
      </c>
      <c r="M53" s="18">
        <v>36.341500000000003</v>
      </c>
      <c r="N53" s="18">
        <v>40.316299999999998</v>
      </c>
      <c r="O53" s="18">
        <v>41.313899999999997</v>
      </c>
      <c r="P53" s="18">
        <v>4585.2960000000003</v>
      </c>
      <c r="Q53" s="18">
        <v>2.7610000000000001</v>
      </c>
      <c r="R53" s="19">
        <f t="shared" si="10"/>
        <v>1.2736933333333333</v>
      </c>
      <c r="S53" s="18">
        <f t="shared" si="11"/>
        <v>1.940740345704596</v>
      </c>
      <c r="T53" s="18">
        <f t="shared" si="11"/>
        <v>1.0087687248812569</v>
      </c>
      <c r="U53" s="59"/>
      <c r="V53" s="42"/>
      <c r="W53" s="25"/>
      <c r="X53" s="25"/>
      <c r="Y53" s="42"/>
      <c r="Z53" s="25"/>
      <c r="AA53" s="54"/>
    </row>
    <row r="54" spans="1:27" ht="12.75" thickBot="1">
      <c r="A54" s="16"/>
      <c r="B54" s="21"/>
      <c r="C54" s="21">
        <v>37</v>
      </c>
      <c r="D54" s="22">
        <v>576.47919999999999</v>
      </c>
      <c r="E54" s="23">
        <v>33.2346</v>
      </c>
      <c r="F54" s="23">
        <v>38.921799999999998</v>
      </c>
      <c r="G54" s="23">
        <v>39.810299999999998</v>
      </c>
      <c r="H54" s="23">
        <v>2004.1020000000001</v>
      </c>
      <c r="I54" s="23">
        <v>2.3279999999999998</v>
      </c>
      <c r="J54" s="24">
        <f t="shared" si="9"/>
        <v>0.55669500000000005</v>
      </c>
      <c r="L54" s="22">
        <v>572.03840000000002</v>
      </c>
      <c r="M54" s="23">
        <v>33.310699999999997</v>
      </c>
      <c r="N54" s="23">
        <v>38.941299999999998</v>
      </c>
      <c r="O54" s="23">
        <v>39.821300000000001</v>
      </c>
      <c r="P54" s="23">
        <v>3915.4589999999998</v>
      </c>
      <c r="Q54" s="23">
        <v>2.3519999999999999</v>
      </c>
      <c r="R54" s="24">
        <f t="shared" si="10"/>
        <v>1.0876275</v>
      </c>
      <c r="S54" s="18">
        <f t="shared" si="11"/>
        <v>1.9537224153261659</v>
      </c>
      <c r="T54" s="18">
        <f t="shared" si="11"/>
        <v>1.0103092783505154</v>
      </c>
      <c r="U54" s="59"/>
      <c r="V54" s="43"/>
      <c r="W54" s="55"/>
      <c r="X54" s="55"/>
      <c r="Y54" s="43"/>
      <c r="Z54" s="55"/>
      <c r="AA54" s="56"/>
    </row>
    <row r="55" spans="1:27">
      <c r="A55" s="16"/>
      <c r="B55" s="11" t="s">
        <v>54</v>
      </c>
      <c r="C55" s="11">
        <v>22</v>
      </c>
      <c r="D55" s="12">
        <v>5562.0285999999996</v>
      </c>
      <c r="E55" s="13">
        <v>41.272799999999997</v>
      </c>
      <c r="F55" s="13">
        <v>43.091900000000003</v>
      </c>
      <c r="G55" s="13">
        <v>44.022399999999998</v>
      </c>
      <c r="H55" s="13">
        <v>3477.9740000000002</v>
      </c>
      <c r="I55" s="13">
        <v>6.0190000000000001</v>
      </c>
      <c r="J55" s="14">
        <f t="shared" si="9"/>
        <v>0.96610388888888898</v>
      </c>
      <c r="L55" s="12">
        <v>5546.9659000000001</v>
      </c>
      <c r="M55" s="13">
        <v>41.405099999999997</v>
      </c>
      <c r="N55" s="13">
        <v>43.114600000000003</v>
      </c>
      <c r="O55" s="13">
        <v>44.047699999999999</v>
      </c>
      <c r="P55" s="13">
        <v>7147.3810000000003</v>
      </c>
      <c r="Q55" s="13">
        <v>6.05</v>
      </c>
      <c r="R55" s="14">
        <f t="shared" si="10"/>
        <v>1.9853836111111112</v>
      </c>
      <c r="S55" s="18">
        <f t="shared" si="11"/>
        <v>2.0550415270499434</v>
      </c>
      <c r="T55" s="18">
        <f t="shared" si="11"/>
        <v>1.0051503572021929</v>
      </c>
      <c r="U55" s="59"/>
      <c r="V55" s="41">
        <f>bdrate($D55:$D58,E55:E58,$L55:$L58,M55:M58)</f>
        <v>-1.6026623306810817E-2</v>
      </c>
      <c r="W55" s="46">
        <f>bdrate($D55:$D58,F55:F58,$L55:$L58,N55:N58)</f>
        <v>-7.3742257742727135E-3</v>
      </c>
      <c r="X55" s="46">
        <f>bdrate($D55:$D58,G55:G58,$L55:$L58,O55:O58)</f>
        <v>-8.4858421769936632E-3</v>
      </c>
      <c r="Y55" s="44">
        <f>bdrateOld($D55:$D58,E55:E58,$L55:$L58,M55:M58)</f>
        <v>-1.6014391518058169E-2</v>
      </c>
      <c r="Z55" s="48">
        <f>bdrateOld($D55:$D58,F55:F58,$L55:$L58,N55:N58)</f>
        <v>-6.9347990969882423E-3</v>
      </c>
      <c r="AA55" s="49">
        <f>bdrateOld($D55:$D58,G55:G58,$L55:$L58,O55:O58)</f>
        <v>-8.1296215867580068E-3</v>
      </c>
    </row>
    <row r="56" spans="1:27">
      <c r="A56" s="16"/>
      <c r="B56" s="16"/>
      <c r="C56" s="16">
        <v>27</v>
      </c>
      <c r="D56" s="17">
        <v>3458.2372999999998</v>
      </c>
      <c r="E56" s="18">
        <v>37.034300000000002</v>
      </c>
      <c r="F56" s="18">
        <v>39.8446</v>
      </c>
      <c r="G56" s="18">
        <v>40.639499999999998</v>
      </c>
      <c r="H56" s="18">
        <v>2935.77</v>
      </c>
      <c r="I56" s="18">
        <v>4.8010000000000002</v>
      </c>
      <c r="J56" s="19">
        <f t="shared" si="9"/>
        <v>0.81549166666666661</v>
      </c>
      <c r="L56" s="17">
        <v>3447.9270000000001</v>
      </c>
      <c r="M56" s="18">
        <v>37.144100000000002</v>
      </c>
      <c r="N56" s="18">
        <v>39.861899999999999</v>
      </c>
      <c r="O56" s="18">
        <v>40.673699999999997</v>
      </c>
      <c r="P56" s="18">
        <v>6053.616</v>
      </c>
      <c r="Q56" s="18">
        <v>4.5880000000000001</v>
      </c>
      <c r="R56" s="19">
        <f t="shared" si="10"/>
        <v>1.6815599999999999</v>
      </c>
      <c r="S56" s="18">
        <f t="shared" si="11"/>
        <v>2.0620198448788565</v>
      </c>
      <c r="T56" s="18">
        <f t="shared" si="11"/>
        <v>0.95563424286606957</v>
      </c>
      <c r="U56" s="59"/>
      <c r="V56" s="42"/>
      <c r="W56" s="25"/>
      <c r="X56" s="25"/>
      <c r="Y56" s="42"/>
      <c r="Z56" s="25"/>
      <c r="AA56" s="54"/>
    </row>
    <row r="57" spans="1:27">
      <c r="A57" s="16"/>
      <c r="B57" s="16"/>
      <c r="C57" s="16">
        <v>32</v>
      </c>
      <c r="D57" s="17">
        <v>2054.4746</v>
      </c>
      <c r="E57" s="18">
        <v>33.259700000000002</v>
      </c>
      <c r="F57" s="18">
        <v>37.538600000000002</v>
      </c>
      <c r="G57" s="18">
        <v>38.202100000000002</v>
      </c>
      <c r="H57" s="18">
        <v>2523.453</v>
      </c>
      <c r="I57" s="18">
        <v>3.516</v>
      </c>
      <c r="J57" s="19">
        <f t="shared" si="9"/>
        <v>0.70095916666666669</v>
      </c>
      <c r="L57" s="17">
        <v>2050.277</v>
      </c>
      <c r="M57" s="18">
        <v>33.353999999999999</v>
      </c>
      <c r="N57" s="18">
        <v>37.567100000000003</v>
      </c>
      <c r="O57" s="18">
        <v>38.228900000000003</v>
      </c>
      <c r="P57" s="18">
        <v>5107.6660000000002</v>
      </c>
      <c r="Q57" s="18">
        <v>3.9769999999999999</v>
      </c>
      <c r="R57" s="19">
        <f t="shared" si="10"/>
        <v>1.4187961111111111</v>
      </c>
      <c r="S57" s="18">
        <f t="shared" si="11"/>
        <v>2.0240781183560781</v>
      </c>
      <c r="T57" s="18">
        <f t="shared" si="11"/>
        <v>1.1311149032992036</v>
      </c>
      <c r="U57" s="59"/>
      <c r="V57" s="42"/>
      <c r="W57" s="25"/>
      <c r="X57" s="25"/>
      <c r="Y57" s="42"/>
      <c r="Z57" s="25"/>
      <c r="AA57" s="54"/>
    </row>
    <row r="58" spans="1:27" ht="12.75" thickBot="1">
      <c r="A58" s="16"/>
      <c r="B58" s="21"/>
      <c r="C58" s="21">
        <v>37</v>
      </c>
      <c r="D58" s="22">
        <v>1100.4421</v>
      </c>
      <c r="E58" s="23">
        <v>29.602599999999999</v>
      </c>
      <c r="F58" s="23">
        <v>35.978000000000002</v>
      </c>
      <c r="G58" s="23">
        <v>36.6113</v>
      </c>
      <c r="H58" s="23">
        <v>2229.5920000000001</v>
      </c>
      <c r="I58" s="23">
        <v>3.19</v>
      </c>
      <c r="J58" s="24">
        <f t="shared" si="9"/>
        <v>0.61933111111111117</v>
      </c>
      <c r="L58" s="22">
        <v>1100.681</v>
      </c>
      <c r="M58" s="23">
        <v>29.677</v>
      </c>
      <c r="N58" s="23">
        <v>35.995699999999999</v>
      </c>
      <c r="O58" s="23">
        <v>36.627400000000002</v>
      </c>
      <c r="P58" s="23">
        <v>4377.585</v>
      </c>
      <c r="Q58" s="23">
        <v>3.298</v>
      </c>
      <c r="R58" s="24">
        <f t="shared" si="10"/>
        <v>1.2159958333333334</v>
      </c>
      <c r="S58" s="18">
        <f t="shared" si="11"/>
        <v>1.9634018241902553</v>
      </c>
      <c r="T58" s="18">
        <f t="shared" si="11"/>
        <v>1.0338557993730408</v>
      </c>
      <c r="U58" s="59"/>
      <c r="V58" s="43"/>
      <c r="W58" s="55"/>
      <c r="X58" s="55"/>
      <c r="Y58" s="43"/>
      <c r="Z58" s="55"/>
      <c r="AA58" s="56"/>
    </row>
    <row r="59" spans="1:27">
      <c r="A59" s="16"/>
      <c r="B59" s="11" t="s">
        <v>55</v>
      </c>
      <c r="C59" s="11">
        <v>22</v>
      </c>
      <c r="D59" s="12">
        <v>1893.6560999999999</v>
      </c>
      <c r="E59" s="13">
        <v>42.489100000000001</v>
      </c>
      <c r="F59" s="13">
        <v>43.763500000000001</v>
      </c>
      <c r="G59" s="13">
        <v>44.600700000000003</v>
      </c>
      <c r="H59" s="13">
        <v>1629.328</v>
      </c>
      <c r="I59" s="13">
        <v>2.2949999999999999</v>
      </c>
      <c r="J59" s="14">
        <f t="shared" si="9"/>
        <v>0.45259111111111111</v>
      </c>
      <c r="L59" s="12">
        <v>1884.1878999999999</v>
      </c>
      <c r="M59" s="13">
        <v>42.600499999999997</v>
      </c>
      <c r="N59" s="13">
        <v>43.779400000000003</v>
      </c>
      <c r="O59" s="13">
        <v>44.621600000000001</v>
      </c>
      <c r="P59" s="13">
        <v>3328.0360000000001</v>
      </c>
      <c r="Q59" s="13">
        <v>4.0810000000000004</v>
      </c>
      <c r="R59" s="14">
        <f t="shared" si="10"/>
        <v>0.92445444444444447</v>
      </c>
      <c r="S59" s="18">
        <f t="shared" si="11"/>
        <v>2.0425819724450816</v>
      </c>
      <c r="T59" s="18">
        <f t="shared" si="11"/>
        <v>1.7782135076252725</v>
      </c>
      <c r="U59" s="59"/>
      <c r="V59" s="41">
        <f>bdrate($D59:$D62,E59:E62,$L59:$L62,M59:M62)</f>
        <v>-2.2210030202982067E-2</v>
      </c>
      <c r="W59" s="46">
        <f>bdrate($D59:$D62,F59:F62,$L59:$L62,N59:N62)</f>
        <v>-7.400297777268694E-3</v>
      </c>
      <c r="X59" s="46">
        <f>bdrate($D59:$D62,G59:G62,$L59:$L62,O59:O62)</f>
        <v>-9.3701231509479843E-3</v>
      </c>
      <c r="Y59" s="44">
        <f>bdrateOld($D59:$D62,E59:E62,$L59:$L62,M59:M62)</f>
        <v>-2.2187383581145026E-2</v>
      </c>
      <c r="Z59" s="48">
        <f>bdrateOld($D59:$D62,F59:F62,$L59:$L62,N59:N62)</f>
        <v>-7.830826011108738E-3</v>
      </c>
      <c r="AA59" s="49">
        <f>bdrateOld($D59:$D62,G59:G62,$L59:$L62,O59:O62)</f>
        <v>-9.1120099487976836E-3</v>
      </c>
    </row>
    <row r="60" spans="1:27">
      <c r="A60" s="16"/>
      <c r="B60" s="16"/>
      <c r="C60" s="16">
        <v>27</v>
      </c>
      <c r="D60" s="17">
        <v>1136.0383999999999</v>
      </c>
      <c r="E60" s="18">
        <v>39.097700000000003</v>
      </c>
      <c r="F60" s="18">
        <v>40.3932</v>
      </c>
      <c r="G60" s="18">
        <v>41.811599999999999</v>
      </c>
      <c r="H60" s="18">
        <v>1436.019</v>
      </c>
      <c r="I60" s="18">
        <v>1.911</v>
      </c>
      <c r="J60" s="19">
        <f t="shared" si="9"/>
        <v>0.39889416666666666</v>
      </c>
      <c r="L60" s="17">
        <v>1130.8326</v>
      </c>
      <c r="M60" s="18">
        <v>39.215299999999999</v>
      </c>
      <c r="N60" s="18">
        <v>40.4114</v>
      </c>
      <c r="O60" s="18">
        <v>41.823399999999999</v>
      </c>
      <c r="P60" s="18">
        <v>2990.1410000000001</v>
      </c>
      <c r="Q60" s="18">
        <v>1.9870000000000001</v>
      </c>
      <c r="R60" s="19">
        <f t="shared" si="10"/>
        <v>0.83059472222222219</v>
      </c>
      <c r="S60" s="18">
        <f t="shared" si="11"/>
        <v>2.082243340791452</v>
      </c>
      <c r="T60" s="18">
        <f t="shared" si="11"/>
        <v>1.0397697540554685</v>
      </c>
      <c r="U60" s="59"/>
      <c r="V60" s="42"/>
      <c r="W60" s="25"/>
      <c r="X60" s="25"/>
      <c r="Y60" s="42"/>
      <c r="Z60" s="25"/>
      <c r="AA60" s="54"/>
    </row>
    <row r="61" spans="1:27">
      <c r="A61" s="16"/>
      <c r="B61" s="16"/>
      <c r="C61" s="16">
        <v>32</v>
      </c>
      <c r="D61" s="17">
        <v>644.14660000000003</v>
      </c>
      <c r="E61" s="18">
        <v>35.692</v>
      </c>
      <c r="F61" s="18">
        <v>38.065800000000003</v>
      </c>
      <c r="G61" s="18">
        <v>39.892499999999998</v>
      </c>
      <c r="H61" s="18">
        <v>1283.4659999999999</v>
      </c>
      <c r="I61" s="18">
        <v>1.49</v>
      </c>
      <c r="J61" s="19">
        <f t="shared" si="9"/>
        <v>0.35651833333333333</v>
      </c>
      <c r="L61" s="17">
        <v>641.57759999999996</v>
      </c>
      <c r="M61" s="18">
        <v>35.796999999999997</v>
      </c>
      <c r="N61" s="18">
        <v>38.070099999999996</v>
      </c>
      <c r="O61" s="18">
        <v>39.9146</v>
      </c>
      <c r="P61" s="18">
        <v>2579.48</v>
      </c>
      <c r="Q61" s="18">
        <v>1.52</v>
      </c>
      <c r="R61" s="19">
        <f t="shared" si="10"/>
        <v>0.71652222222222228</v>
      </c>
      <c r="S61" s="18">
        <f t="shared" si="11"/>
        <v>2.0097766516604261</v>
      </c>
      <c r="T61" s="18">
        <f t="shared" si="11"/>
        <v>1.0201342281879195</v>
      </c>
      <c r="U61" s="59"/>
      <c r="V61" s="42"/>
      <c r="W61" s="25"/>
      <c r="X61" s="25"/>
      <c r="Y61" s="42"/>
      <c r="Z61" s="25"/>
      <c r="AA61" s="54"/>
    </row>
    <row r="62" spans="1:27" ht="12.75" thickBot="1">
      <c r="A62" s="21"/>
      <c r="B62" s="21"/>
      <c r="C62" s="21">
        <v>37</v>
      </c>
      <c r="D62" s="22">
        <v>322.26080000000002</v>
      </c>
      <c r="E62" s="23">
        <v>32.303600000000003</v>
      </c>
      <c r="F62" s="23">
        <v>36.658900000000003</v>
      </c>
      <c r="G62" s="23">
        <v>38.505200000000002</v>
      </c>
      <c r="H62" s="23">
        <v>1117.2049999999999</v>
      </c>
      <c r="I62" s="23">
        <v>1.1850000000000001</v>
      </c>
      <c r="J62" s="24">
        <f t="shared" si="9"/>
        <v>0.31033472222222219</v>
      </c>
      <c r="L62" s="22">
        <v>322.62549999999999</v>
      </c>
      <c r="M62" s="23">
        <v>32.396599999999999</v>
      </c>
      <c r="N62" s="23">
        <v>36.677700000000002</v>
      </c>
      <c r="O62" s="23">
        <v>38.530799999999999</v>
      </c>
      <c r="P62" s="23">
        <v>2227.337</v>
      </c>
      <c r="Q62" s="23">
        <v>1.2470000000000001</v>
      </c>
      <c r="R62" s="24">
        <f t="shared" si="10"/>
        <v>0.61870472222222217</v>
      </c>
      <c r="S62" s="23">
        <f t="shared" si="11"/>
        <v>1.9936690222474838</v>
      </c>
      <c r="T62" s="23">
        <f t="shared" si="11"/>
        <v>1.0523206751054852</v>
      </c>
      <c r="U62" s="60"/>
      <c r="V62" s="43"/>
      <c r="W62" s="55"/>
      <c r="X62" s="55"/>
      <c r="Y62" s="43"/>
      <c r="Z62" s="55"/>
      <c r="AA62" s="56"/>
    </row>
    <row r="63" spans="1:27">
      <c r="A63" s="11" t="s">
        <v>6</v>
      </c>
      <c r="B63" s="11" t="s">
        <v>56</v>
      </c>
      <c r="C63" s="11">
        <f>C59</f>
        <v>22</v>
      </c>
      <c r="D63" s="12">
        <v>661.90560000000005</v>
      </c>
      <c r="E63" s="13">
        <v>43.253599999999999</v>
      </c>
      <c r="F63" s="13">
        <v>45.804099999999998</v>
      </c>
      <c r="G63" s="13">
        <v>45.568399999999997</v>
      </c>
      <c r="H63" s="13">
        <v>669.83600000000001</v>
      </c>
      <c r="I63" s="13">
        <v>0.94299999999999995</v>
      </c>
      <c r="J63" s="14">
        <f>H63/3600</f>
        <v>0.18606555555555557</v>
      </c>
      <c r="L63" s="12">
        <v>656.43409999999994</v>
      </c>
      <c r="M63" s="13">
        <v>43.391399999999997</v>
      </c>
      <c r="N63" s="13">
        <v>45.818100000000001</v>
      </c>
      <c r="O63" s="13">
        <v>45.567900000000002</v>
      </c>
      <c r="P63" s="13">
        <v>1382.327</v>
      </c>
      <c r="Q63" s="13">
        <v>0.95799999999999996</v>
      </c>
      <c r="R63" s="14">
        <f>P63/3600</f>
        <v>0.38397972222222221</v>
      </c>
      <c r="S63" s="13">
        <f>P63/H63</f>
        <v>2.063679766390579</v>
      </c>
      <c r="T63" s="13">
        <f>Q63/I63</f>
        <v>1.0159066808059385</v>
      </c>
      <c r="U63" s="58"/>
      <c r="V63" s="41">
        <f>bdrate($D63:$D66,E63:E66,$L63:$L66,M63:M66)</f>
        <v>-2.3678973454663521E-2</v>
      </c>
      <c r="W63" s="46">
        <f>bdrate($D63:$D66,F63:F66,$L63:$L66,N63:N66)</f>
        <v>-7.9826033990150203E-3</v>
      </c>
      <c r="X63" s="47">
        <f>bdrate($D63:$D66,G63:G66,$L63:$L66,O63:O66)</f>
        <v>-9.639962058191176E-3</v>
      </c>
      <c r="Y63" s="41">
        <f>bdrateOld($D63:$D66,E63:E66,$L63:$L66,M63:M66)</f>
        <v>-2.368970093189926E-2</v>
      </c>
      <c r="Z63" s="46">
        <f>bdrateOld($D63:$D66,F63:F66,$L63:$L66,N63:N66)</f>
        <v>-7.9348490613890821E-3</v>
      </c>
      <c r="AA63" s="47">
        <f>bdrateOld($D63:$D66,G63:G66,$L63:$L66,O63:O66)</f>
        <v>-9.4740364201019167E-3</v>
      </c>
    </row>
    <row r="64" spans="1:27">
      <c r="A64" s="16" t="s">
        <v>49</v>
      </c>
      <c r="B64" s="16"/>
      <c r="C64" s="16">
        <f>C60</f>
        <v>27</v>
      </c>
      <c r="D64" s="17">
        <v>395.44130000000001</v>
      </c>
      <c r="E64" s="18">
        <v>39.633200000000002</v>
      </c>
      <c r="F64" s="18">
        <v>42.826900000000002</v>
      </c>
      <c r="G64" s="18">
        <v>42.364400000000003</v>
      </c>
      <c r="H64" s="18">
        <v>651.66099999999994</v>
      </c>
      <c r="I64" s="18">
        <v>0.77300000000000002</v>
      </c>
      <c r="J64" s="19">
        <f t="shared" ref="J64:J78" si="12">H64/3600</f>
        <v>0.18101694444444444</v>
      </c>
      <c r="L64" s="17">
        <v>392.83249999999998</v>
      </c>
      <c r="M64" s="18">
        <v>39.761000000000003</v>
      </c>
      <c r="N64" s="18">
        <v>42.845500000000001</v>
      </c>
      <c r="O64" s="18">
        <v>42.373100000000001</v>
      </c>
      <c r="P64" s="18">
        <v>1265.4100000000001</v>
      </c>
      <c r="Q64" s="18">
        <v>0.79100000000000004</v>
      </c>
      <c r="R64" s="19">
        <f t="shared" ref="R64:R78" si="13">P64/3600</f>
        <v>0.35150277777777778</v>
      </c>
      <c r="S64" s="18">
        <f t="shared" ref="S64:T78" si="14">P64/H64</f>
        <v>1.9418225120116137</v>
      </c>
      <c r="T64" s="18">
        <f t="shared" si="14"/>
        <v>1.0232858990944373</v>
      </c>
      <c r="U64" s="59"/>
      <c r="V64" s="42"/>
      <c r="W64" s="25"/>
      <c r="X64" s="54"/>
      <c r="Y64" s="42"/>
      <c r="Z64" s="25"/>
      <c r="AA64" s="54"/>
    </row>
    <row r="65" spans="1:27">
      <c r="A65" s="16"/>
      <c r="B65" s="16"/>
      <c r="C65" s="16">
        <f>C61</f>
        <v>32</v>
      </c>
      <c r="D65" s="17">
        <v>226.60560000000001</v>
      </c>
      <c r="E65" s="18">
        <v>36.261200000000002</v>
      </c>
      <c r="F65" s="18">
        <v>40.470799999999997</v>
      </c>
      <c r="G65" s="18">
        <v>39.797699999999999</v>
      </c>
      <c r="H65" s="18">
        <v>676.68899999999996</v>
      </c>
      <c r="I65" s="18">
        <v>0.64400000000000002</v>
      </c>
      <c r="J65" s="19">
        <f t="shared" si="12"/>
        <v>0.18796916666666666</v>
      </c>
      <c r="L65" s="17">
        <v>225.7167</v>
      </c>
      <c r="M65" s="18">
        <v>36.366900000000001</v>
      </c>
      <c r="N65" s="18">
        <v>40.476999999999997</v>
      </c>
      <c r="O65" s="18">
        <v>39.827399999999997</v>
      </c>
      <c r="P65" s="18">
        <v>1199.684</v>
      </c>
      <c r="Q65" s="18">
        <v>0.64200000000000002</v>
      </c>
      <c r="R65" s="19">
        <f t="shared" si="13"/>
        <v>0.33324555555555557</v>
      </c>
      <c r="S65" s="18">
        <f t="shared" si="14"/>
        <v>1.7728735061453638</v>
      </c>
      <c r="T65" s="18">
        <f t="shared" si="14"/>
        <v>0.99689440993788825</v>
      </c>
      <c r="U65" s="59"/>
      <c r="V65" s="42"/>
      <c r="W65" s="25"/>
      <c r="X65" s="54"/>
      <c r="Y65" s="42"/>
      <c r="Z65" s="25"/>
      <c r="AA65" s="54"/>
    </row>
    <row r="66" spans="1:27" ht="12.75" thickBot="1">
      <c r="A66" s="16"/>
      <c r="B66" s="21"/>
      <c r="C66" s="21">
        <f>C62</f>
        <v>37</v>
      </c>
      <c r="D66" s="22">
        <v>126.0206</v>
      </c>
      <c r="E66" s="23">
        <v>33.151800000000001</v>
      </c>
      <c r="F66" s="23">
        <v>38.749200000000002</v>
      </c>
      <c r="G66" s="23">
        <v>37.950699999999998</v>
      </c>
      <c r="H66" s="23">
        <v>474.286</v>
      </c>
      <c r="I66" s="23">
        <v>0.51</v>
      </c>
      <c r="J66" s="24">
        <f t="shared" si="12"/>
        <v>0.13174611111111112</v>
      </c>
      <c r="L66" s="22">
        <v>125.75</v>
      </c>
      <c r="M66" s="23">
        <v>33.229999999999997</v>
      </c>
      <c r="N66" s="23">
        <v>38.740699999999997</v>
      </c>
      <c r="O66" s="23">
        <v>37.979500000000002</v>
      </c>
      <c r="P66" s="23">
        <v>911.18799999999999</v>
      </c>
      <c r="Q66" s="23">
        <v>0.54400000000000004</v>
      </c>
      <c r="R66" s="24">
        <f t="shared" si="13"/>
        <v>0.25310777777777776</v>
      </c>
      <c r="S66" s="18">
        <f t="shared" si="14"/>
        <v>1.9211783607359272</v>
      </c>
      <c r="T66" s="18">
        <f t="shared" si="14"/>
        <v>1.0666666666666667</v>
      </c>
      <c r="U66" s="59"/>
      <c r="V66" s="43"/>
      <c r="W66" s="55"/>
      <c r="X66" s="56"/>
      <c r="Y66" s="43"/>
      <c r="Z66" s="55"/>
      <c r="AA66" s="56"/>
    </row>
    <row r="67" spans="1:27">
      <c r="A67" s="16"/>
      <c r="B67" s="11" t="s">
        <v>57</v>
      </c>
      <c r="C67" s="11">
        <v>22</v>
      </c>
      <c r="D67" s="12">
        <v>1650.2103999999999</v>
      </c>
      <c r="E67" s="13">
        <v>41.396900000000002</v>
      </c>
      <c r="F67" s="13">
        <v>43.853299999999997</v>
      </c>
      <c r="G67" s="13">
        <v>44.83</v>
      </c>
      <c r="H67" s="13">
        <v>946.14099999999996</v>
      </c>
      <c r="I67" s="13">
        <v>1.702</v>
      </c>
      <c r="J67" s="14">
        <f t="shared" si="12"/>
        <v>0.26281694444444442</v>
      </c>
      <c r="L67" s="12">
        <v>1648.644</v>
      </c>
      <c r="M67" s="13">
        <v>41.537399999999998</v>
      </c>
      <c r="N67" s="13">
        <v>43.859900000000003</v>
      </c>
      <c r="O67" s="13">
        <v>44.851399999999998</v>
      </c>
      <c r="P67" s="13">
        <v>2043.7629999999999</v>
      </c>
      <c r="Q67" s="13">
        <v>1.714</v>
      </c>
      <c r="R67" s="14">
        <f t="shared" si="13"/>
        <v>0.56771194444444439</v>
      </c>
      <c r="S67" s="18">
        <f t="shared" si="14"/>
        <v>2.1601040436890484</v>
      </c>
      <c r="T67" s="18">
        <f t="shared" si="14"/>
        <v>1.0070505287896592</v>
      </c>
      <c r="U67" s="59"/>
      <c r="V67" s="41">
        <f>bdrate($D67:$D70,E67:E70,$L67:$L70,M67:M70)</f>
        <v>-1.3828568023840582E-2</v>
      </c>
      <c r="W67" s="46">
        <f>bdrate($D67:$D70,F67:F70,$L67:$L70,N67:N70)</f>
        <v>-4.7484513463117439E-3</v>
      </c>
      <c r="X67" s="46">
        <f>bdrate($D67:$D70,G67:G70,$L67:$L70,O67:O70)</f>
        <v>-6.9910815781599744E-3</v>
      </c>
      <c r="Y67" s="44">
        <f>bdrateOld($D67:$D70,E67:E70,$L67:$L70,M67:M70)</f>
        <v>-1.3808552939127638E-2</v>
      </c>
      <c r="Z67" s="48">
        <f>bdrateOld($D67:$D70,F67:F70,$L67:$L70,N67:N70)</f>
        <v>-5.6222611106091502E-3</v>
      </c>
      <c r="AA67" s="49">
        <f>bdrateOld($D67:$D70,G67:G70,$L67:$L70,O67:O70)</f>
        <v>-6.8671682690386593E-3</v>
      </c>
    </row>
    <row r="68" spans="1:27">
      <c r="A68" s="16"/>
      <c r="B68" s="16"/>
      <c r="C68" s="16">
        <v>27</v>
      </c>
      <c r="D68" s="17">
        <v>1050.2464</v>
      </c>
      <c r="E68" s="18">
        <v>36.987900000000003</v>
      </c>
      <c r="F68" s="18">
        <v>41.022100000000002</v>
      </c>
      <c r="G68" s="18">
        <v>42.033200000000001</v>
      </c>
      <c r="H68" s="18">
        <v>822.33500000000004</v>
      </c>
      <c r="I68" s="18">
        <v>1.3560000000000001</v>
      </c>
      <c r="J68" s="19">
        <f t="shared" si="12"/>
        <v>0.22842638888888889</v>
      </c>
      <c r="L68" s="17">
        <v>1050.8055999999999</v>
      </c>
      <c r="M68" s="18">
        <v>37.109699999999997</v>
      </c>
      <c r="N68" s="18">
        <v>41.033900000000003</v>
      </c>
      <c r="O68" s="18">
        <v>42.055700000000002</v>
      </c>
      <c r="P68" s="18">
        <v>1692.825</v>
      </c>
      <c r="Q68" s="18">
        <v>1.36</v>
      </c>
      <c r="R68" s="19">
        <f t="shared" si="13"/>
        <v>0.4702291666666667</v>
      </c>
      <c r="S68" s="18">
        <f t="shared" si="14"/>
        <v>2.0585588598320634</v>
      </c>
      <c r="T68" s="18">
        <f t="shared" si="14"/>
        <v>1.0029498525073746</v>
      </c>
      <c r="U68" s="59"/>
      <c r="V68" s="42"/>
      <c r="W68" s="25"/>
      <c r="X68" s="25"/>
      <c r="Y68" s="42"/>
      <c r="Z68" s="25"/>
      <c r="AA68" s="54"/>
    </row>
    <row r="69" spans="1:27">
      <c r="A69" s="16"/>
      <c r="B69" s="16"/>
      <c r="C69" s="16">
        <v>32</v>
      </c>
      <c r="D69" s="17">
        <v>646.40160000000003</v>
      </c>
      <c r="E69" s="18">
        <v>33.2029</v>
      </c>
      <c r="F69" s="18">
        <v>39.125300000000003</v>
      </c>
      <c r="G69" s="18">
        <v>40.062399999999997</v>
      </c>
      <c r="H69" s="18">
        <v>704.053</v>
      </c>
      <c r="I69" s="18">
        <v>1.115</v>
      </c>
      <c r="J69" s="19">
        <f t="shared" si="12"/>
        <v>0.19557027777777777</v>
      </c>
      <c r="L69" s="17">
        <v>646.25760000000002</v>
      </c>
      <c r="M69" s="18">
        <v>33.305599999999998</v>
      </c>
      <c r="N69" s="18">
        <v>39.145600000000002</v>
      </c>
      <c r="O69" s="18">
        <v>40.096699999999998</v>
      </c>
      <c r="P69" s="18">
        <v>1486.3389999999999</v>
      </c>
      <c r="Q69" s="18">
        <v>1.107</v>
      </c>
      <c r="R69" s="19">
        <f t="shared" si="13"/>
        <v>0.41287194444444442</v>
      </c>
      <c r="S69" s="18">
        <f t="shared" si="14"/>
        <v>2.1111180550327888</v>
      </c>
      <c r="T69" s="18">
        <f t="shared" si="14"/>
        <v>0.99282511210762336</v>
      </c>
      <c r="U69" s="59"/>
      <c r="V69" s="42"/>
      <c r="W69" s="25"/>
      <c r="X69" s="25"/>
      <c r="Y69" s="42"/>
      <c r="Z69" s="25"/>
      <c r="AA69" s="54"/>
    </row>
    <row r="70" spans="1:27" ht="12.75" thickBot="1">
      <c r="A70" s="16"/>
      <c r="B70" s="21"/>
      <c r="C70" s="21">
        <v>37</v>
      </c>
      <c r="D70" s="22">
        <v>382.86559999999997</v>
      </c>
      <c r="E70" s="23">
        <v>29.6873</v>
      </c>
      <c r="F70" s="23">
        <v>37.9589</v>
      </c>
      <c r="G70" s="23">
        <v>38.843299999999999</v>
      </c>
      <c r="H70" s="23">
        <v>615.55499999999995</v>
      </c>
      <c r="I70" s="23">
        <v>0.91100000000000003</v>
      </c>
      <c r="J70" s="24">
        <f t="shared" si="12"/>
        <v>0.17098749999999999</v>
      </c>
      <c r="L70" s="22">
        <v>382.096</v>
      </c>
      <c r="M70" s="23">
        <v>29.763500000000001</v>
      </c>
      <c r="N70" s="23">
        <v>38.002600000000001</v>
      </c>
      <c r="O70" s="23">
        <v>38.878599999999999</v>
      </c>
      <c r="P70" s="23">
        <v>1243.0229999999999</v>
      </c>
      <c r="Q70" s="23">
        <v>0.96</v>
      </c>
      <c r="R70" s="24">
        <f t="shared" si="13"/>
        <v>0.34528416666666661</v>
      </c>
      <c r="S70" s="18">
        <f t="shared" si="14"/>
        <v>2.0193532665643201</v>
      </c>
      <c r="T70" s="18">
        <f t="shared" si="14"/>
        <v>1.0537870472008781</v>
      </c>
      <c r="U70" s="59"/>
      <c r="V70" s="43"/>
      <c r="W70" s="55"/>
      <c r="X70" s="55"/>
      <c r="Y70" s="43"/>
      <c r="Z70" s="55"/>
      <c r="AA70" s="56"/>
    </row>
    <row r="71" spans="1:27">
      <c r="A71" s="16"/>
      <c r="B71" s="11" t="s">
        <v>58</v>
      </c>
      <c r="C71" s="11">
        <v>22</v>
      </c>
      <c r="D71" s="12">
        <v>1453.0183</v>
      </c>
      <c r="E71" s="13">
        <v>41.209000000000003</v>
      </c>
      <c r="F71" s="13">
        <v>42.639200000000002</v>
      </c>
      <c r="G71" s="13">
        <v>43.428199999999997</v>
      </c>
      <c r="H71" s="13">
        <v>825.48199999999997</v>
      </c>
      <c r="I71" s="13">
        <v>1.5249999999999999</v>
      </c>
      <c r="J71" s="14">
        <f t="shared" si="12"/>
        <v>0.22930055555555554</v>
      </c>
      <c r="L71" s="12">
        <v>1448.6134999999999</v>
      </c>
      <c r="M71" s="13">
        <v>41.351900000000001</v>
      </c>
      <c r="N71" s="13">
        <v>42.653100000000002</v>
      </c>
      <c r="O71" s="13">
        <v>43.4465</v>
      </c>
      <c r="P71" s="13">
        <v>1792.261</v>
      </c>
      <c r="Q71" s="13">
        <v>1.5409999999999999</v>
      </c>
      <c r="R71" s="14">
        <f t="shared" si="13"/>
        <v>0.49785027777777779</v>
      </c>
      <c r="S71" s="18">
        <f t="shared" si="14"/>
        <v>2.1711690866669411</v>
      </c>
      <c r="T71" s="18">
        <f t="shared" si="14"/>
        <v>1.0104918032786885</v>
      </c>
      <c r="U71" s="59"/>
      <c r="V71" s="41">
        <f>bdrate($D71:$D74,E71:E74,$L71:$L74,M71:M74)</f>
        <v>-1.762262410198745E-2</v>
      </c>
      <c r="W71" s="46">
        <f>bdrate($D71:$D74,F71:F74,$L71:$L74,N71:N74)</f>
        <v>-6.8486391727903273E-3</v>
      </c>
      <c r="X71" s="46">
        <f>bdrate($D71:$D74,G71:G74,$L71:$L74,O71:O74)</f>
        <v>-8.5578653163681517E-3</v>
      </c>
      <c r="Y71" s="44">
        <f>bdrateOld($D71:$D74,E71:E74,$L71:$L74,M71:M74)</f>
        <v>-1.7615529785837358E-2</v>
      </c>
      <c r="Z71" s="48">
        <f>bdrateOld($D71:$D74,F71:F74,$L71:$L74,N71:N74)</f>
        <v>-6.4827759523055084E-3</v>
      </c>
      <c r="AA71" s="49">
        <f>bdrateOld($D71:$D74,G71:G74,$L71:$L74,O71:O74)</f>
        <v>-8.1772592106600372E-3</v>
      </c>
    </row>
    <row r="72" spans="1:27">
      <c r="A72" s="16"/>
      <c r="B72" s="16"/>
      <c r="C72" s="16">
        <v>27</v>
      </c>
      <c r="D72" s="17">
        <v>899.50559999999996</v>
      </c>
      <c r="E72" s="18">
        <v>36.887799999999999</v>
      </c>
      <c r="F72" s="18">
        <v>39.457999999999998</v>
      </c>
      <c r="G72" s="18">
        <v>40.037599999999998</v>
      </c>
      <c r="H72" s="18">
        <v>817.18399999999997</v>
      </c>
      <c r="I72" s="18">
        <v>1.252</v>
      </c>
      <c r="J72" s="19">
        <f t="shared" si="12"/>
        <v>0.22699555555555553</v>
      </c>
      <c r="L72" s="17">
        <v>896.60789999999997</v>
      </c>
      <c r="M72" s="18">
        <v>37.007899999999999</v>
      </c>
      <c r="N72" s="18">
        <v>39.476999999999997</v>
      </c>
      <c r="O72" s="18">
        <v>40.056899999999999</v>
      </c>
      <c r="P72" s="18">
        <v>1665.2380000000001</v>
      </c>
      <c r="Q72" s="18">
        <v>1.2529999999999999</v>
      </c>
      <c r="R72" s="19">
        <f t="shared" si="13"/>
        <v>0.46256611111111112</v>
      </c>
      <c r="S72" s="18">
        <f t="shared" si="14"/>
        <v>2.0377760700160552</v>
      </c>
      <c r="T72" s="18">
        <f t="shared" si="14"/>
        <v>1.0007987220447283</v>
      </c>
      <c r="U72" s="59"/>
      <c r="V72" s="42"/>
      <c r="W72" s="25"/>
      <c r="X72" s="25"/>
      <c r="Y72" s="42"/>
      <c r="Z72" s="25"/>
      <c r="AA72" s="54"/>
    </row>
    <row r="73" spans="1:27">
      <c r="A73" s="16"/>
      <c r="B73" s="16"/>
      <c r="C73" s="16">
        <v>32</v>
      </c>
      <c r="D73" s="17">
        <v>509.86270000000002</v>
      </c>
      <c r="E73" s="18">
        <v>32.929900000000004</v>
      </c>
      <c r="F73" s="18">
        <v>37.119399999999999</v>
      </c>
      <c r="G73" s="18">
        <v>37.581699999999998</v>
      </c>
      <c r="H73" s="18">
        <v>736.75400000000002</v>
      </c>
      <c r="I73" s="18">
        <v>1.002</v>
      </c>
      <c r="J73" s="19">
        <f t="shared" si="12"/>
        <v>0.20465388888888889</v>
      </c>
      <c r="L73" s="17">
        <v>508.81670000000003</v>
      </c>
      <c r="M73" s="18">
        <v>33.026699999999998</v>
      </c>
      <c r="N73" s="18">
        <v>37.1404</v>
      </c>
      <c r="O73" s="18">
        <v>37.616</v>
      </c>
      <c r="P73" s="18">
        <v>1403.26</v>
      </c>
      <c r="Q73" s="18">
        <v>0.995</v>
      </c>
      <c r="R73" s="19">
        <f t="shared" si="13"/>
        <v>0.38979444444444444</v>
      </c>
      <c r="S73" s="18">
        <f t="shared" si="14"/>
        <v>1.9046520276781667</v>
      </c>
      <c r="T73" s="18">
        <f t="shared" si="14"/>
        <v>0.99301397205588826</v>
      </c>
      <c r="U73" s="59"/>
      <c r="V73" s="42"/>
      <c r="W73" s="25"/>
      <c r="X73" s="25"/>
      <c r="Y73" s="42"/>
      <c r="Z73" s="25"/>
      <c r="AA73" s="54"/>
    </row>
    <row r="74" spans="1:27" ht="12.75" thickBot="1">
      <c r="A74" s="16"/>
      <c r="B74" s="21"/>
      <c r="C74" s="21">
        <v>37</v>
      </c>
      <c r="D74" s="22">
        <v>260.69209999999998</v>
      </c>
      <c r="E74" s="23">
        <v>29.415600000000001</v>
      </c>
      <c r="F74" s="23">
        <v>35.513800000000003</v>
      </c>
      <c r="G74" s="23">
        <v>35.9221</v>
      </c>
      <c r="H74" s="23">
        <v>645.44500000000005</v>
      </c>
      <c r="I74" s="23">
        <v>0.81799999999999995</v>
      </c>
      <c r="J74" s="24">
        <f t="shared" si="12"/>
        <v>0.17929027777777778</v>
      </c>
      <c r="L74" s="22">
        <v>260.61829999999998</v>
      </c>
      <c r="M74" s="23">
        <v>29.488299999999999</v>
      </c>
      <c r="N74" s="23">
        <v>35.522199999999998</v>
      </c>
      <c r="O74" s="23">
        <v>35.949100000000001</v>
      </c>
      <c r="P74" s="23">
        <v>1200.5160000000001</v>
      </c>
      <c r="Q74" s="23">
        <v>0.748</v>
      </c>
      <c r="R74" s="24">
        <f t="shared" si="13"/>
        <v>0.3334766666666667</v>
      </c>
      <c r="S74" s="18">
        <f t="shared" si="14"/>
        <v>1.8599818729713609</v>
      </c>
      <c r="T74" s="18">
        <f t="shared" si="14"/>
        <v>0.91442542787286074</v>
      </c>
      <c r="U74" s="59"/>
      <c r="V74" s="43"/>
      <c r="W74" s="55"/>
      <c r="X74" s="55"/>
      <c r="Y74" s="43"/>
      <c r="Z74" s="55"/>
      <c r="AA74" s="56"/>
    </row>
    <row r="75" spans="1:27">
      <c r="A75" s="16"/>
      <c r="B75" s="11" t="s">
        <v>55</v>
      </c>
      <c r="C75" s="11">
        <v>22</v>
      </c>
      <c r="D75" s="12">
        <v>564.24549999999999</v>
      </c>
      <c r="E75" s="13">
        <v>42.6723</v>
      </c>
      <c r="F75" s="13">
        <v>43.389499999999998</v>
      </c>
      <c r="G75" s="13">
        <v>44.258699999999997</v>
      </c>
      <c r="H75" s="13">
        <v>417.39499999999998</v>
      </c>
      <c r="I75" s="13">
        <v>0.65100000000000002</v>
      </c>
      <c r="J75" s="14">
        <f t="shared" si="12"/>
        <v>0.11594305555555555</v>
      </c>
      <c r="L75" s="12">
        <v>559.42819999999995</v>
      </c>
      <c r="M75" s="13">
        <v>42.813299999999998</v>
      </c>
      <c r="N75" s="13">
        <v>43.405500000000004</v>
      </c>
      <c r="O75" s="13">
        <v>44.2941</v>
      </c>
      <c r="P75" s="13">
        <v>865.62300000000005</v>
      </c>
      <c r="Q75" s="13">
        <v>0.66</v>
      </c>
      <c r="R75" s="14">
        <f t="shared" si="13"/>
        <v>0.24045083333333334</v>
      </c>
      <c r="S75" s="18">
        <f t="shared" si="14"/>
        <v>2.0738700751087102</v>
      </c>
      <c r="T75" s="18">
        <f t="shared" si="14"/>
        <v>1.0138248847926268</v>
      </c>
      <c r="U75" s="59"/>
      <c r="V75" s="41">
        <f>bdrate($D75:$D78,E75:E78,$L75:$L78,M75:M78)</f>
        <v>-2.5003720897541881E-2</v>
      </c>
      <c r="W75" s="46">
        <f>bdrate($D75:$D78,F75:F78,$L75:$L78,N75:N78)</f>
        <v>-1.2171321216759345E-2</v>
      </c>
      <c r="X75" s="46">
        <f>bdrate($D75:$D78,G75:G78,$L75:$L78,O75:O78)</f>
        <v>-5.6771656790316483E-3</v>
      </c>
      <c r="Y75" s="44">
        <f>bdrateOld($D75:$D78,E75:E78,$L75:$L78,M75:M78)</f>
        <v>-2.492005293817523E-2</v>
      </c>
      <c r="Z75" s="48">
        <f>bdrateOld($D75:$D78,F75:F78,$L75:$L78,N75:N78)</f>
        <v>-1.274436928770406E-2</v>
      </c>
      <c r="AA75" s="49">
        <f>bdrateOld($D75:$D78,G75:G78,$L75:$L78,O75:O78)</f>
        <v>-6.2233145220530472E-3</v>
      </c>
    </row>
    <row r="76" spans="1:27">
      <c r="A76" s="16"/>
      <c r="B76" s="16"/>
      <c r="C76" s="16">
        <v>27</v>
      </c>
      <c r="D76" s="17">
        <v>339.96080000000001</v>
      </c>
      <c r="E76" s="18">
        <v>38.612499999999997</v>
      </c>
      <c r="F76" s="18">
        <v>39.958300000000001</v>
      </c>
      <c r="G76" s="18">
        <v>41.307699999999997</v>
      </c>
      <c r="H76" s="18">
        <v>453.15100000000001</v>
      </c>
      <c r="I76" s="18">
        <v>0.54200000000000004</v>
      </c>
      <c r="J76" s="19">
        <f t="shared" si="12"/>
        <v>0.12587527777777779</v>
      </c>
      <c r="L76" s="17">
        <v>337.18340000000001</v>
      </c>
      <c r="M76" s="18">
        <v>38.743899999999996</v>
      </c>
      <c r="N76" s="18">
        <v>39.964799999999997</v>
      </c>
      <c r="O76" s="18">
        <v>41.297800000000002</v>
      </c>
      <c r="P76" s="18">
        <v>1180.777</v>
      </c>
      <c r="Q76" s="18">
        <v>0.55200000000000005</v>
      </c>
      <c r="R76" s="19">
        <f t="shared" si="13"/>
        <v>0.32799361111111114</v>
      </c>
      <c r="S76" s="18">
        <f t="shared" si="14"/>
        <v>2.6057031762039586</v>
      </c>
      <c r="T76" s="18">
        <f t="shared" si="14"/>
        <v>1.018450184501845</v>
      </c>
      <c r="U76" s="59"/>
      <c r="V76" s="42"/>
      <c r="W76" s="25"/>
      <c r="X76" s="25"/>
      <c r="Y76" s="42"/>
      <c r="Z76" s="25"/>
      <c r="AA76" s="54"/>
    </row>
    <row r="77" spans="1:27">
      <c r="A77" s="16"/>
      <c r="B77" s="16"/>
      <c r="C77" s="16">
        <v>32</v>
      </c>
      <c r="D77" s="17">
        <v>186.12</v>
      </c>
      <c r="E77" s="18">
        <v>34.7605</v>
      </c>
      <c r="F77" s="18">
        <v>37.763500000000001</v>
      </c>
      <c r="G77" s="18">
        <v>39.029400000000003</v>
      </c>
      <c r="H77" s="18">
        <v>567.58000000000004</v>
      </c>
      <c r="I77" s="18">
        <v>0.45200000000000001</v>
      </c>
      <c r="J77" s="19">
        <f t="shared" si="12"/>
        <v>0.15766111111111111</v>
      </c>
      <c r="L77" s="17">
        <v>185.2713</v>
      </c>
      <c r="M77" s="18">
        <v>34.8827</v>
      </c>
      <c r="N77" s="18">
        <v>37.790700000000001</v>
      </c>
      <c r="O77" s="18">
        <v>39.019399999999997</v>
      </c>
      <c r="P77" s="18">
        <v>746.87699999999995</v>
      </c>
      <c r="Q77" s="18">
        <v>0.54300000000000004</v>
      </c>
      <c r="R77" s="19">
        <f t="shared" si="13"/>
        <v>0.20746583333333332</v>
      </c>
      <c r="S77" s="18">
        <f t="shared" si="14"/>
        <v>1.3158973184396912</v>
      </c>
      <c r="T77" s="18">
        <f t="shared" si="14"/>
        <v>1.2013274336283186</v>
      </c>
      <c r="U77" s="59"/>
      <c r="V77" s="42"/>
      <c r="W77" s="25"/>
      <c r="X77" s="25"/>
      <c r="Y77" s="42"/>
      <c r="Z77" s="25"/>
      <c r="AA77" s="54"/>
    </row>
    <row r="78" spans="1:27" ht="12.75" thickBot="1">
      <c r="A78" s="21"/>
      <c r="B78" s="21"/>
      <c r="C78" s="21">
        <v>37</v>
      </c>
      <c r="D78" s="22">
        <v>92.437100000000001</v>
      </c>
      <c r="E78" s="23">
        <v>31.445900000000002</v>
      </c>
      <c r="F78" s="23">
        <v>36.231000000000002</v>
      </c>
      <c r="G78" s="23">
        <v>37.372799999999998</v>
      </c>
      <c r="H78" s="23">
        <v>313.02300000000002</v>
      </c>
      <c r="I78" s="23">
        <v>0.35299999999999998</v>
      </c>
      <c r="J78" s="24">
        <f t="shared" si="12"/>
        <v>8.6950833333333338E-2</v>
      </c>
      <c r="L78" s="22">
        <v>92.664500000000004</v>
      </c>
      <c r="M78" s="23">
        <v>31.531600000000001</v>
      </c>
      <c r="N78" s="23">
        <v>36.286799999999999</v>
      </c>
      <c r="O78" s="23">
        <v>37.386200000000002</v>
      </c>
      <c r="P78" s="23">
        <v>611.20699999999999</v>
      </c>
      <c r="Q78" s="23">
        <v>0.35699999999999998</v>
      </c>
      <c r="R78" s="24">
        <f t="shared" si="13"/>
        <v>0.16977972222222221</v>
      </c>
      <c r="S78" s="23">
        <f t="shared" si="14"/>
        <v>1.9525945377815686</v>
      </c>
      <c r="T78" s="23">
        <f t="shared" si="14"/>
        <v>1.0113314447592068</v>
      </c>
      <c r="U78" s="60"/>
      <c r="V78" s="43"/>
      <c r="W78" s="55"/>
      <c r="X78" s="55"/>
      <c r="Y78" s="43"/>
      <c r="Z78" s="55"/>
      <c r="AA78" s="56"/>
    </row>
    <row r="79" spans="1:27">
      <c r="A79" s="11" t="s">
        <v>50</v>
      </c>
      <c r="B79" s="11" t="s">
        <v>59</v>
      </c>
      <c r="C79" s="11">
        <v>22</v>
      </c>
      <c r="D79" s="12">
        <v>3760.3</v>
      </c>
      <c r="E79" s="13">
        <v>44.069499999999998</v>
      </c>
      <c r="F79" s="13">
        <v>47.278199999999998</v>
      </c>
      <c r="G79" s="13">
        <v>48.432200000000002</v>
      </c>
      <c r="H79" s="13">
        <v>5860.5020000000004</v>
      </c>
      <c r="I79" s="13">
        <v>7.61</v>
      </c>
      <c r="J79" s="14">
        <f>H79/3600</f>
        <v>1.6279172222222222</v>
      </c>
      <c r="L79" s="12">
        <v>3698.1255999999998</v>
      </c>
      <c r="M79" s="13">
        <v>44.1526</v>
      </c>
      <c r="N79" s="13">
        <v>47.282800000000002</v>
      </c>
      <c r="O79" s="13">
        <v>48.433700000000002</v>
      </c>
      <c r="P79" s="13">
        <v>11754.697</v>
      </c>
      <c r="Q79" s="13">
        <v>7.4829999999999997</v>
      </c>
      <c r="R79" s="14">
        <f>P79/3600</f>
        <v>3.2651936111111111</v>
      </c>
      <c r="S79" s="13">
        <f>P79/H79</f>
        <v>2.0057491661977078</v>
      </c>
      <c r="T79" s="13">
        <f>Q79/I79</f>
        <v>0.98331143232588691</v>
      </c>
      <c r="U79" s="58"/>
      <c r="V79" s="41">
        <f>bdrate($D79:$D82,E79:E82,$L79:$L82,M79:M82)</f>
        <v>-3.3059298262637316E-2</v>
      </c>
      <c r="W79" s="46">
        <f>bdrate($D79:$D82,F79:F82,$L79:$L82,N79:N82)</f>
        <v>-2.0583559275891172E-2</v>
      </c>
      <c r="X79" s="47">
        <f>bdrate($D79:$D82,G79:G82,$L79:$L82,O79:O82)</f>
        <v>-2.2660205403191469E-2</v>
      </c>
      <c r="Y79" s="41">
        <f>bdrateOld($D79:$D82,E79:E82,$L79:$L82,M79:M82)</f>
        <v>-3.3020969728684402E-2</v>
      </c>
      <c r="Z79" s="46">
        <f>bdrateOld($D79:$D82,F79:F82,$L79:$L82,N79:N82)</f>
        <v>-2.0613878828194654E-2</v>
      </c>
      <c r="AA79" s="47">
        <f>bdrateOld($D79:$D82,G79:G82,$L79:$L82,O79:O82)</f>
        <v>-2.2356747975695535E-2</v>
      </c>
    </row>
    <row r="80" spans="1:27">
      <c r="A80" s="16" t="s">
        <v>51</v>
      </c>
      <c r="B80" s="16"/>
      <c r="C80" s="16">
        <v>27</v>
      </c>
      <c r="D80" s="17">
        <v>2310.3375999999998</v>
      </c>
      <c r="E80" s="18">
        <v>41.542900000000003</v>
      </c>
      <c r="F80" s="18">
        <v>44.9786</v>
      </c>
      <c r="G80" s="18">
        <v>46.144599999999997</v>
      </c>
      <c r="H80" s="18">
        <v>5243.527</v>
      </c>
      <c r="I80" s="18">
        <v>6.5819999999999999</v>
      </c>
      <c r="J80" s="19">
        <f t="shared" ref="J80:J90" si="15">H80/3600</f>
        <v>1.4565352777777778</v>
      </c>
      <c r="L80" s="17">
        <v>2261.9335999999998</v>
      </c>
      <c r="M80" s="18">
        <v>41.625399999999999</v>
      </c>
      <c r="N80" s="18">
        <v>44.975900000000003</v>
      </c>
      <c r="O80" s="18">
        <v>46.147399999999998</v>
      </c>
      <c r="P80" s="18">
        <v>10346.773999999999</v>
      </c>
      <c r="Q80" s="18">
        <v>6.9649999999999999</v>
      </c>
      <c r="R80" s="19">
        <f t="shared" ref="R80:R90" si="16">P80/3600</f>
        <v>2.8741038888888886</v>
      </c>
      <c r="S80" s="18">
        <f t="shared" ref="S80:T90" si="17">P80/H80</f>
        <v>1.9732470148432533</v>
      </c>
      <c r="T80" s="18">
        <f t="shared" si="17"/>
        <v>1.058189000303859</v>
      </c>
      <c r="U80" s="59"/>
      <c r="V80" s="42"/>
      <c r="W80" s="25"/>
      <c r="X80" s="54"/>
      <c r="Y80" s="42"/>
      <c r="Z80" s="25"/>
      <c r="AA80" s="54"/>
    </row>
    <row r="81" spans="1:27">
      <c r="A81" s="16"/>
      <c r="B81" s="16"/>
      <c r="C81" s="16">
        <v>32</v>
      </c>
      <c r="D81" s="17">
        <v>1411.1592000000001</v>
      </c>
      <c r="E81" s="18">
        <v>38.712800000000001</v>
      </c>
      <c r="F81" s="18">
        <v>43.002600000000001</v>
      </c>
      <c r="G81" s="18">
        <v>44.162199999999999</v>
      </c>
      <c r="H81" s="18">
        <v>4623.8469999999998</v>
      </c>
      <c r="I81" s="18">
        <v>5.9509999999999996</v>
      </c>
      <c r="J81" s="19">
        <f t="shared" si="15"/>
        <v>1.2844019444444443</v>
      </c>
      <c r="L81" s="17">
        <v>1385.6096</v>
      </c>
      <c r="M81" s="18">
        <v>38.802599999999998</v>
      </c>
      <c r="N81" s="18">
        <v>43.016500000000001</v>
      </c>
      <c r="O81" s="18">
        <v>44.194000000000003</v>
      </c>
      <c r="P81" s="18">
        <v>9374.3700000000008</v>
      </c>
      <c r="Q81" s="18">
        <v>6.0960000000000001</v>
      </c>
      <c r="R81" s="19">
        <f t="shared" si="16"/>
        <v>2.6039916666666669</v>
      </c>
      <c r="S81" s="18">
        <f t="shared" si="17"/>
        <v>2.0273962352128003</v>
      </c>
      <c r="T81" s="18">
        <f t="shared" si="17"/>
        <v>1.0243656528314571</v>
      </c>
      <c r="U81" s="59"/>
      <c r="V81" s="42"/>
      <c r="W81" s="25"/>
      <c r="X81" s="54"/>
      <c r="Y81" s="42"/>
      <c r="Z81" s="25"/>
      <c r="AA81" s="54"/>
    </row>
    <row r="82" spans="1:27" ht="12.75" thickBot="1">
      <c r="A82" s="16"/>
      <c r="B82" s="21"/>
      <c r="C82" s="21">
        <v>37</v>
      </c>
      <c r="D82" s="22">
        <v>848.47040000000004</v>
      </c>
      <c r="E82" s="23">
        <v>35.672899999999998</v>
      </c>
      <c r="F82" s="23">
        <v>41.6616</v>
      </c>
      <c r="G82" s="23">
        <v>42.8048</v>
      </c>
      <c r="H82" s="23">
        <v>3995.3589999999999</v>
      </c>
      <c r="I82" s="23">
        <v>5.0259999999999998</v>
      </c>
      <c r="J82" s="24">
        <f t="shared" si="15"/>
        <v>1.1098219444444444</v>
      </c>
      <c r="L82" s="22">
        <v>835.08479999999997</v>
      </c>
      <c r="M82" s="23">
        <v>35.741599999999998</v>
      </c>
      <c r="N82" s="23">
        <v>41.674900000000001</v>
      </c>
      <c r="O82" s="23">
        <v>42.817799999999998</v>
      </c>
      <c r="P82" s="23">
        <v>7877.3779999999997</v>
      </c>
      <c r="Q82" s="23">
        <v>5.1609999999999996</v>
      </c>
      <c r="R82" s="24">
        <f t="shared" si="16"/>
        <v>2.1881605555555557</v>
      </c>
      <c r="S82" s="18">
        <f t="shared" si="17"/>
        <v>1.97163208612793</v>
      </c>
      <c r="T82" s="18">
        <f t="shared" si="17"/>
        <v>1.0268603263032232</v>
      </c>
      <c r="U82" s="59"/>
      <c r="V82" s="43"/>
      <c r="W82" s="55"/>
      <c r="X82" s="56"/>
      <c r="Y82" s="43"/>
      <c r="Z82" s="55"/>
      <c r="AA82" s="56"/>
    </row>
    <row r="83" spans="1:27">
      <c r="A83" s="16"/>
      <c r="B83" s="11" t="s">
        <v>60</v>
      </c>
      <c r="C83" s="11">
        <v>22</v>
      </c>
      <c r="D83" s="12">
        <v>2493.3416000000002</v>
      </c>
      <c r="E83" s="13">
        <v>44.263800000000003</v>
      </c>
      <c r="F83" s="13">
        <v>48.574399999999997</v>
      </c>
      <c r="G83" s="13">
        <v>49.186799999999998</v>
      </c>
      <c r="H83" s="13">
        <v>4249.7169999999996</v>
      </c>
      <c r="I83" s="13">
        <v>5.9349999999999996</v>
      </c>
      <c r="J83" s="14">
        <f t="shared" si="15"/>
        <v>1.1804769444444443</v>
      </c>
      <c r="L83" s="12">
        <v>2452.1192000000001</v>
      </c>
      <c r="M83" s="13">
        <v>44.325299999999999</v>
      </c>
      <c r="N83" s="13">
        <v>48.586300000000001</v>
      </c>
      <c r="O83" s="13">
        <v>49.1995</v>
      </c>
      <c r="P83" s="13">
        <v>8955.6409999999996</v>
      </c>
      <c r="Q83" s="13">
        <v>5.66</v>
      </c>
      <c r="R83" s="14">
        <f t="shared" si="16"/>
        <v>2.4876780555555555</v>
      </c>
      <c r="S83" s="18">
        <f t="shared" si="17"/>
        <v>2.1073499717745912</v>
      </c>
      <c r="T83" s="18">
        <f t="shared" si="17"/>
        <v>0.95366470092670608</v>
      </c>
      <c r="U83" s="59"/>
      <c r="V83" s="41">
        <f>bdrate($D83:$D86,E83:E86,$L83:$L86,M83:M86)</f>
        <v>-3.3630461344736684E-2</v>
      </c>
      <c r="W83" s="46">
        <f>bdrate($D83:$D86,F83:F86,$L83:$L86,N83:N86)</f>
        <v>-2.1804633511474991E-2</v>
      </c>
      <c r="X83" s="46">
        <f>bdrate($D83:$D86,G83:G86,$L83:$L86,O83:O86)</f>
        <v>-2.4268605786761155E-2</v>
      </c>
      <c r="Y83" s="44">
        <f>bdrateOld($D83:$D86,E83:E86,$L83:$L86,M83:M86)</f>
        <v>-3.3624136048791109E-2</v>
      </c>
      <c r="Z83" s="48">
        <f>bdrateOld($D83:$D86,F83:F86,$L83:$L86,N83:N86)</f>
        <v>-2.2223355649736765E-2</v>
      </c>
      <c r="AA83" s="49">
        <f>bdrateOld($D83:$D86,G83:G86,$L83:$L86,O83:O86)</f>
        <v>-2.4616693235097964E-2</v>
      </c>
    </row>
    <row r="84" spans="1:27">
      <c r="A84" s="16"/>
      <c r="B84" s="16"/>
      <c r="C84" s="16">
        <v>27</v>
      </c>
      <c r="D84" s="17">
        <v>1386.6944000000001</v>
      </c>
      <c r="E84" s="18">
        <v>42.0944</v>
      </c>
      <c r="F84" s="18">
        <v>46.720500000000001</v>
      </c>
      <c r="G84" s="18">
        <v>47.269100000000002</v>
      </c>
      <c r="H84" s="18">
        <v>3798.538</v>
      </c>
      <c r="I84" s="18">
        <v>5.1260000000000003</v>
      </c>
      <c r="J84" s="19">
        <f t="shared" si="15"/>
        <v>1.0551494444444445</v>
      </c>
      <c r="L84" s="17">
        <v>1359.4223999999999</v>
      </c>
      <c r="M84" s="18">
        <v>42.163699999999999</v>
      </c>
      <c r="N84" s="18">
        <v>46.7425</v>
      </c>
      <c r="O84" s="18">
        <v>47.296700000000001</v>
      </c>
      <c r="P84" s="18">
        <v>7276.4740000000002</v>
      </c>
      <c r="Q84" s="18">
        <v>5.2569999999999997</v>
      </c>
      <c r="R84" s="19">
        <f t="shared" si="16"/>
        <v>2.0212427777777777</v>
      </c>
      <c r="S84" s="18">
        <f t="shared" si="17"/>
        <v>1.9155985802958928</v>
      </c>
      <c r="T84" s="18">
        <f t="shared" si="17"/>
        <v>1.0255559890753023</v>
      </c>
      <c r="U84" s="59"/>
      <c r="V84" s="42"/>
      <c r="W84" s="25"/>
      <c r="X84" s="25"/>
      <c r="Y84" s="42"/>
      <c r="Z84" s="25"/>
      <c r="AA84" s="54"/>
    </row>
    <row r="85" spans="1:27">
      <c r="A85" s="16"/>
      <c r="B85" s="16"/>
      <c r="C85" s="16">
        <v>32</v>
      </c>
      <c r="D85" s="17">
        <v>783.87760000000003</v>
      </c>
      <c r="E85" s="18">
        <v>39.783999999999999</v>
      </c>
      <c r="F85" s="18">
        <v>44.9724</v>
      </c>
      <c r="G85" s="18">
        <v>45.523299999999999</v>
      </c>
      <c r="H85" s="18">
        <v>3354.7649999999999</v>
      </c>
      <c r="I85" s="18">
        <v>4.484</v>
      </c>
      <c r="J85" s="19">
        <f t="shared" si="15"/>
        <v>0.93187916666666659</v>
      </c>
      <c r="L85" s="17">
        <v>775.28240000000005</v>
      </c>
      <c r="M85" s="18">
        <v>39.884099999999997</v>
      </c>
      <c r="N85" s="18">
        <v>44.983800000000002</v>
      </c>
      <c r="O85" s="18">
        <v>45.548299999999998</v>
      </c>
      <c r="P85" s="18">
        <v>6598.1440000000002</v>
      </c>
      <c r="Q85" s="18">
        <v>4.6769999999999996</v>
      </c>
      <c r="R85" s="19">
        <f t="shared" si="16"/>
        <v>1.8328177777777779</v>
      </c>
      <c r="S85" s="18">
        <f t="shared" si="17"/>
        <v>1.9667976743527491</v>
      </c>
      <c r="T85" s="18">
        <f t="shared" si="17"/>
        <v>1.0430419268510258</v>
      </c>
      <c r="U85" s="59"/>
      <c r="V85" s="42"/>
      <c r="W85" s="25"/>
      <c r="X85" s="25"/>
      <c r="Y85" s="42"/>
      <c r="Z85" s="25"/>
      <c r="AA85" s="54"/>
    </row>
    <row r="86" spans="1:27" ht="12.75" thickBot="1">
      <c r="A86" s="16"/>
      <c r="B86" s="21"/>
      <c r="C86" s="21">
        <v>37</v>
      </c>
      <c r="D86" s="22">
        <v>447.00639999999999</v>
      </c>
      <c r="E86" s="23">
        <v>37.284399999999998</v>
      </c>
      <c r="F86" s="23">
        <v>43.557699999999997</v>
      </c>
      <c r="G86" s="23">
        <v>44.168199999999999</v>
      </c>
      <c r="H86" s="23">
        <v>2733.2829999999999</v>
      </c>
      <c r="I86" s="23">
        <v>3.847</v>
      </c>
      <c r="J86" s="24">
        <f t="shared" si="15"/>
        <v>0.75924527777777773</v>
      </c>
      <c r="L86" s="22">
        <v>442.90800000000002</v>
      </c>
      <c r="M86" s="23">
        <v>37.353000000000002</v>
      </c>
      <c r="N86" s="23">
        <v>43.599899999999998</v>
      </c>
      <c r="O86" s="23">
        <v>44.209099999999999</v>
      </c>
      <c r="P86" s="23">
        <v>5487.0450000000001</v>
      </c>
      <c r="Q86" s="23">
        <v>4.3959999999999999</v>
      </c>
      <c r="R86" s="24">
        <f t="shared" si="16"/>
        <v>1.5241791666666666</v>
      </c>
      <c r="S86" s="18">
        <f t="shared" si="17"/>
        <v>2.0074924550439892</v>
      </c>
      <c r="T86" s="18">
        <f t="shared" si="17"/>
        <v>1.1427086041070964</v>
      </c>
      <c r="U86" s="59"/>
      <c r="V86" s="43"/>
      <c r="W86" s="55"/>
      <c r="X86" s="55"/>
      <c r="Y86" s="43"/>
      <c r="Z86" s="55"/>
      <c r="AA86" s="56"/>
    </row>
    <row r="87" spans="1:27">
      <c r="A87" s="16"/>
      <c r="B87" s="11" t="s">
        <v>61</v>
      </c>
      <c r="C87" s="11">
        <v>22</v>
      </c>
      <c r="D87" s="12">
        <v>2759.4119999999998</v>
      </c>
      <c r="E87" s="13">
        <v>44.678400000000003</v>
      </c>
      <c r="F87" s="13">
        <v>47.986699999999999</v>
      </c>
      <c r="G87" s="13">
        <v>48.878399999999999</v>
      </c>
      <c r="H87" s="13">
        <v>4916.9120000000003</v>
      </c>
      <c r="I87" s="13">
        <v>5.726</v>
      </c>
      <c r="J87" s="14">
        <f t="shared" si="15"/>
        <v>1.3658088888888891</v>
      </c>
      <c r="L87" s="12">
        <v>2721.8552</v>
      </c>
      <c r="M87" s="13">
        <v>44.753799999999998</v>
      </c>
      <c r="N87" s="13">
        <v>47.990600000000001</v>
      </c>
      <c r="O87" s="13">
        <v>48.884900000000002</v>
      </c>
      <c r="P87" s="13">
        <v>10236.9</v>
      </c>
      <c r="Q87" s="13">
        <v>6.1920000000000002</v>
      </c>
      <c r="R87" s="14">
        <f t="shared" si="16"/>
        <v>2.8435833333333331</v>
      </c>
      <c r="S87" s="18">
        <f t="shared" si="17"/>
        <v>2.0819774687852863</v>
      </c>
      <c r="T87" s="18">
        <f t="shared" si="17"/>
        <v>1.081383164512749</v>
      </c>
      <c r="U87" s="59"/>
      <c r="V87" s="41">
        <f>bdrate($D87:$D90,E87:E90,$L87:$L90,M87:M90)</f>
        <v>-3.2445151535873795E-2</v>
      </c>
      <c r="W87" s="46">
        <f>bdrate($D87:$D90,F87:F90,$L87:$L90,N87:N90)</f>
        <v>-2.2923567104154885E-2</v>
      </c>
      <c r="X87" s="46">
        <f>bdrate($D87:$D90,G87:G90,$L87:$L90,O87:O90)</f>
        <v>-2.0760909991746734E-2</v>
      </c>
      <c r="Y87" s="44">
        <f>bdrateOld($D87:$D90,E87:E90,$L87:$L90,M87:M90)</f>
        <v>-3.2434282143589122E-2</v>
      </c>
      <c r="Z87" s="48">
        <f>bdrateOld($D87:$D90,F87:F90,$L87:$L90,N87:N90)</f>
        <v>-2.2708949500201636E-2</v>
      </c>
      <c r="AA87" s="49">
        <f>bdrateOld($D87:$D90,G87:G90,$L87:$L90,O87:O90)</f>
        <v>-2.0240911240634651E-2</v>
      </c>
    </row>
    <row r="88" spans="1:27">
      <c r="A88" s="16"/>
      <c r="B88" s="16"/>
      <c r="C88" s="16">
        <v>27</v>
      </c>
      <c r="D88" s="17">
        <v>1663.9304</v>
      </c>
      <c r="E88" s="18">
        <v>42.392899999999997</v>
      </c>
      <c r="F88" s="18">
        <v>45.877899999999997</v>
      </c>
      <c r="G88" s="18">
        <v>46.8506</v>
      </c>
      <c r="H88" s="18">
        <v>4393.8059999999996</v>
      </c>
      <c r="I88" s="18">
        <v>5.0279999999999996</v>
      </c>
      <c r="J88" s="19">
        <f t="shared" si="15"/>
        <v>1.2205016666666666</v>
      </c>
      <c r="L88" s="17">
        <v>1635.9760000000001</v>
      </c>
      <c r="M88" s="18">
        <v>42.473199999999999</v>
      </c>
      <c r="N88" s="18">
        <v>45.8992</v>
      </c>
      <c r="O88" s="18">
        <v>46.851199999999999</v>
      </c>
      <c r="P88" s="18">
        <v>8331.4089999999997</v>
      </c>
      <c r="Q88" s="18">
        <v>5.7549999999999999</v>
      </c>
      <c r="R88" s="19">
        <f t="shared" si="16"/>
        <v>2.3142802777777778</v>
      </c>
      <c r="S88" s="18">
        <f t="shared" si="17"/>
        <v>1.8961713375601927</v>
      </c>
      <c r="T88" s="18">
        <f t="shared" si="17"/>
        <v>1.1445902943516308</v>
      </c>
      <c r="U88" s="59"/>
      <c r="V88" s="42"/>
      <c r="W88" s="25"/>
      <c r="X88" s="25"/>
      <c r="Y88" s="42"/>
      <c r="Z88" s="25"/>
      <c r="AA88" s="54"/>
    </row>
    <row r="89" spans="1:27">
      <c r="A89" s="16"/>
      <c r="B89" s="16"/>
      <c r="C89" s="16">
        <v>32</v>
      </c>
      <c r="D89" s="17">
        <v>1004.1712</v>
      </c>
      <c r="E89" s="18">
        <v>39.787999999999997</v>
      </c>
      <c r="F89" s="18">
        <v>43.988799999999998</v>
      </c>
      <c r="G89" s="18">
        <v>44.998100000000001</v>
      </c>
      <c r="H89" s="18">
        <v>3617.7710000000002</v>
      </c>
      <c r="I89" s="18">
        <v>4.8739999999999997</v>
      </c>
      <c r="J89" s="19">
        <f t="shared" si="15"/>
        <v>1.0049363888888889</v>
      </c>
      <c r="L89" s="17">
        <v>986.11199999999997</v>
      </c>
      <c r="M89" s="18">
        <v>39.870600000000003</v>
      </c>
      <c r="N89" s="18">
        <v>44.020400000000002</v>
      </c>
      <c r="O89" s="18">
        <v>45.036900000000003</v>
      </c>
      <c r="P89" s="18">
        <v>7353.8509999999997</v>
      </c>
      <c r="Q89" s="18">
        <v>5.1120000000000001</v>
      </c>
      <c r="R89" s="19">
        <f t="shared" si="16"/>
        <v>2.0427363888888888</v>
      </c>
      <c r="S89" s="18">
        <f t="shared" si="17"/>
        <v>2.0327021804309888</v>
      </c>
      <c r="T89" s="18">
        <f t="shared" si="17"/>
        <v>1.0488305293393518</v>
      </c>
      <c r="U89" s="59"/>
      <c r="V89" s="42"/>
      <c r="W89" s="25"/>
      <c r="X89" s="25"/>
      <c r="Y89" s="42"/>
      <c r="Z89" s="25"/>
      <c r="AA89" s="54"/>
    </row>
    <row r="90" spans="1:27" ht="12.75" thickBot="1">
      <c r="A90" s="21"/>
      <c r="B90" s="21"/>
      <c r="C90" s="21">
        <v>37</v>
      </c>
      <c r="D90" s="22">
        <v>602.95360000000005</v>
      </c>
      <c r="E90" s="23">
        <v>36.959200000000003</v>
      </c>
      <c r="F90" s="23">
        <v>42.583399999999997</v>
      </c>
      <c r="G90" s="23">
        <v>43.561799999999998</v>
      </c>
      <c r="H90" s="23">
        <v>3306.027</v>
      </c>
      <c r="I90" s="23">
        <v>4.2939999999999996</v>
      </c>
      <c r="J90" s="24">
        <f t="shared" si="15"/>
        <v>0.91834083333333338</v>
      </c>
      <c r="L90" s="22">
        <v>592.72559999999999</v>
      </c>
      <c r="M90" s="23">
        <v>37.037999999999997</v>
      </c>
      <c r="N90" s="23">
        <v>42.601500000000001</v>
      </c>
      <c r="O90" s="23">
        <v>43.5578</v>
      </c>
      <c r="P90" s="23">
        <v>6527.567</v>
      </c>
      <c r="Q90" s="23">
        <v>4.4210000000000003</v>
      </c>
      <c r="R90" s="24">
        <f t="shared" si="16"/>
        <v>1.8132130555555555</v>
      </c>
      <c r="S90" s="18">
        <f t="shared" si="17"/>
        <v>1.9744445523282175</v>
      </c>
      <c r="T90" s="18">
        <f t="shared" si="17"/>
        <v>1.029576152771309</v>
      </c>
      <c r="U90" s="59"/>
      <c r="V90" s="43"/>
      <c r="W90" s="55"/>
      <c r="X90" s="55"/>
      <c r="Y90" s="43"/>
      <c r="Z90" s="55"/>
      <c r="AA90" s="56"/>
    </row>
    <row r="91" spans="1:27">
      <c r="A91" s="34" t="s">
        <v>52</v>
      </c>
      <c r="B91" s="34" t="s">
        <v>62</v>
      </c>
      <c r="C91" s="34">
        <v>22</v>
      </c>
      <c r="D91" s="12">
        <f>Reference!B89</f>
        <v>0</v>
      </c>
      <c r="E91" s="13">
        <f>Reference!C89</f>
        <v>0</v>
      </c>
      <c r="F91" s="13">
        <f>Reference!D89</f>
        <v>0</v>
      </c>
      <c r="G91" s="13">
        <f>Reference!E89</f>
        <v>0</v>
      </c>
      <c r="H91" s="13">
        <f>Reference!F89</f>
        <v>0</v>
      </c>
      <c r="I91" s="13">
        <f>Reference!G89</f>
        <v>0</v>
      </c>
      <c r="J91" s="14">
        <f>H91/3600</f>
        <v>0</v>
      </c>
      <c r="L91" s="12">
        <f>Test!B89</f>
        <v>0</v>
      </c>
      <c r="M91" s="13">
        <f>Test!C89</f>
        <v>0</v>
      </c>
      <c r="N91" s="13">
        <f>Test!D89</f>
        <v>0</v>
      </c>
      <c r="O91" s="13">
        <f>Test!E89</f>
        <v>0</v>
      </c>
      <c r="P91" s="13">
        <f>Test!F89</f>
        <v>0</v>
      </c>
      <c r="Q91" s="13">
        <f>Test!G89</f>
        <v>0</v>
      </c>
      <c r="R91" s="14">
        <f>P91/3600</f>
        <v>0</v>
      </c>
      <c r="S91" s="13" t="e">
        <f>P91/H91</f>
        <v>#DIV/0!</v>
      </c>
      <c r="T91" s="13" t="e">
        <f>Q91/I91</f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>
      <c r="A92" s="35"/>
      <c r="B92" s="35"/>
      <c r="C92" s="35">
        <v>27</v>
      </c>
      <c r="D92" s="17">
        <f>Reference!B90</f>
        <v>0</v>
      </c>
      <c r="E92" s="18">
        <f>Reference!C90</f>
        <v>0</v>
      </c>
      <c r="F92" s="18">
        <f>Reference!D90</f>
        <v>0</v>
      </c>
      <c r="G92" s="18">
        <f>Reference!E90</f>
        <v>0</v>
      </c>
      <c r="H92" s="18">
        <f>Reference!F90</f>
        <v>0</v>
      </c>
      <c r="I92" s="18">
        <f>Reference!G90</f>
        <v>0</v>
      </c>
      <c r="J92" s="19">
        <f t="shared" ref="J92:J106" si="18">H92/3600</f>
        <v>0</v>
      </c>
      <c r="L92" s="17">
        <f>Test!B90</f>
        <v>0</v>
      </c>
      <c r="M92" s="18">
        <f>Test!C90</f>
        <v>0</v>
      </c>
      <c r="N92" s="18">
        <f>Test!D90</f>
        <v>0</v>
      </c>
      <c r="O92" s="18">
        <f>Test!E90</f>
        <v>0</v>
      </c>
      <c r="P92" s="18">
        <f>Test!F90</f>
        <v>0</v>
      </c>
      <c r="Q92" s="18">
        <f>Test!G90</f>
        <v>0</v>
      </c>
      <c r="R92" s="19">
        <f t="shared" ref="R92:R106" si="19">P92/3600</f>
        <v>0</v>
      </c>
      <c r="S92" s="18" t="e">
        <f t="shared" ref="S92:T106" si="20">P92/H92</f>
        <v>#DIV/0!</v>
      </c>
      <c r="T92" s="18" t="e">
        <f t="shared" si="20"/>
        <v>#DIV/0!</v>
      </c>
      <c r="U92" s="59"/>
      <c r="V92" s="42"/>
      <c r="W92" s="25"/>
      <c r="X92" s="54"/>
      <c r="Y92" s="42"/>
      <c r="Z92" s="25"/>
      <c r="AA92" s="54"/>
    </row>
    <row r="93" spans="1:27">
      <c r="A93" s="35"/>
      <c r="B93" s="35"/>
      <c r="C93" s="35">
        <v>32</v>
      </c>
      <c r="D93" s="17">
        <f>Reference!B91</f>
        <v>0</v>
      </c>
      <c r="E93" s="18">
        <f>Reference!C91</f>
        <v>0</v>
      </c>
      <c r="F93" s="18">
        <f>Reference!D91</f>
        <v>0</v>
      </c>
      <c r="G93" s="18">
        <f>Reference!E91</f>
        <v>0</v>
      </c>
      <c r="H93" s="18">
        <f>Reference!F91</f>
        <v>0</v>
      </c>
      <c r="I93" s="18">
        <f>Reference!G91</f>
        <v>0</v>
      </c>
      <c r="J93" s="19">
        <f t="shared" si="18"/>
        <v>0</v>
      </c>
      <c r="L93" s="17">
        <f>Test!B91</f>
        <v>0</v>
      </c>
      <c r="M93" s="18">
        <f>Test!C91</f>
        <v>0</v>
      </c>
      <c r="N93" s="18">
        <f>Test!D91</f>
        <v>0</v>
      </c>
      <c r="O93" s="18">
        <f>Test!E91</f>
        <v>0</v>
      </c>
      <c r="P93" s="18">
        <f>Test!F91</f>
        <v>0</v>
      </c>
      <c r="Q93" s="18">
        <f>Test!G91</f>
        <v>0</v>
      </c>
      <c r="R93" s="19">
        <f t="shared" si="19"/>
        <v>0</v>
      </c>
      <c r="S93" s="18" t="e">
        <f t="shared" si="20"/>
        <v>#DIV/0!</v>
      </c>
      <c r="T93" s="18" t="e">
        <f t="shared" si="20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>
      <c r="A94" s="35"/>
      <c r="B94" s="36"/>
      <c r="C94" s="36">
        <v>37</v>
      </c>
      <c r="D94" s="22">
        <f>Reference!B92</f>
        <v>0</v>
      </c>
      <c r="E94" s="23">
        <f>Reference!C92</f>
        <v>0</v>
      </c>
      <c r="F94" s="23">
        <f>Reference!D92</f>
        <v>0</v>
      </c>
      <c r="G94" s="23">
        <f>Reference!E92</f>
        <v>0</v>
      </c>
      <c r="H94" s="23">
        <f>Reference!F92</f>
        <v>0</v>
      </c>
      <c r="I94" s="23">
        <f>Reference!G92</f>
        <v>0</v>
      </c>
      <c r="J94" s="24">
        <f t="shared" si="18"/>
        <v>0</v>
      </c>
      <c r="L94" s="22">
        <f>Test!B92</f>
        <v>0</v>
      </c>
      <c r="M94" s="23">
        <f>Test!C92</f>
        <v>0</v>
      </c>
      <c r="N94" s="23">
        <f>Test!D92</f>
        <v>0</v>
      </c>
      <c r="O94" s="23">
        <f>Test!E92</f>
        <v>0</v>
      </c>
      <c r="P94" s="23">
        <f>Test!F92</f>
        <v>0</v>
      </c>
      <c r="Q94" s="23">
        <f>Test!G92</f>
        <v>0</v>
      </c>
      <c r="R94" s="24">
        <f t="shared" si="19"/>
        <v>0</v>
      </c>
      <c r="S94" s="18" t="e">
        <f t="shared" si="20"/>
        <v>#DIV/0!</v>
      </c>
      <c r="T94" s="18" t="e">
        <f t="shared" si="20"/>
        <v>#DIV/0!</v>
      </c>
      <c r="U94" s="59"/>
      <c r="V94" s="43"/>
      <c r="W94" s="55"/>
      <c r="X94" s="56"/>
      <c r="Y94" s="43"/>
      <c r="Z94" s="55"/>
      <c r="AA94" s="56"/>
    </row>
    <row r="95" spans="1:27">
      <c r="A95" s="35"/>
      <c r="B95" s="34" t="s">
        <v>523</v>
      </c>
      <c r="C95" s="34">
        <v>22</v>
      </c>
      <c r="D95" s="12">
        <f>Reference!B93</f>
        <v>0</v>
      </c>
      <c r="E95" s="13">
        <f>Reference!C93</f>
        <v>0</v>
      </c>
      <c r="F95" s="13">
        <f>Reference!D93</f>
        <v>0</v>
      </c>
      <c r="G95" s="13">
        <f>Reference!E93</f>
        <v>0</v>
      </c>
      <c r="H95" s="13">
        <f>Reference!F93</f>
        <v>0</v>
      </c>
      <c r="I95" s="13">
        <f>Reference!G93</f>
        <v>0</v>
      </c>
      <c r="J95" s="14">
        <f t="shared" si="18"/>
        <v>0</v>
      </c>
      <c r="L95" s="12">
        <f>Test!B93</f>
        <v>0</v>
      </c>
      <c r="M95" s="13">
        <f>Test!C93</f>
        <v>0</v>
      </c>
      <c r="N95" s="13">
        <f>Test!D93</f>
        <v>0</v>
      </c>
      <c r="O95" s="13">
        <f>Test!E93</f>
        <v>0</v>
      </c>
      <c r="P95" s="13">
        <f>Test!F93</f>
        <v>0</v>
      </c>
      <c r="Q95" s="13">
        <f>Test!G93</f>
        <v>0</v>
      </c>
      <c r="R95" s="14">
        <f t="shared" si="19"/>
        <v>0</v>
      </c>
      <c r="S95" s="18" t="e">
        <f t="shared" si="20"/>
        <v>#DIV/0!</v>
      </c>
      <c r="T95" s="18" t="e">
        <f t="shared" si="20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>
      <c r="A96" s="35"/>
      <c r="B96" s="35"/>
      <c r="C96" s="35">
        <v>27</v>
      </c>
      <c r="D96" s="17">
        <f>Reference!B94</f>
        <v>0</v>
      </c>
      <c r="E96" s="18">
        <f>Reference!C94</f>
        <v>0</v>
      </c>
      <c r="F96" s="18">
        <f>Reference!D94</f>
        <v>0</v>
      </c>
      <c r="G96" s="18">
        <f>Reference!E94</f>
        <v>0</v>
      </c>
      <c r="H96" s="18">
        <f>Reference!F94</f>
        <v>0</v>
      </c>
      <c r="I96" s="18">
        <f>Reference!G94</f>
        <v>0</v>
      </c>
      <c r="J96" s="19">
        <f t="shared" si="18"/>
        <v>0</v>
      </c>
      <c r="L96" s="17">
        <f>Test!B94</f>
        <v>0</v>
      </c>
      <c r="M96" s="18">
        <f>Test!C94</f>
        <v>0</v>
      </c>
      <c r="N96" s="18">
        <f>Test!D94</f>
        <v>0</v>
      </c>
      <c r="O96" s="18">
        <f>Test!E94</f>
        <v>0</v>
      </c>
      <c r="P96" s="18">
        <f>Test!F94</f>
        <v>0</v>
      </c>
      <c r="Q96" s="18">
        <f>Test!G94</f>
        <v>0</v>
      </c>
      <c r="R96" s="19">
        <f t="shared" si="19"/>
        <v>0</v>
      </c>
      <c r="S96" s="18" t="e">
        <f t="shared" si="20"/>
        <v>#DIV/0!</v>
      </c>
      <c r="T96" s="18" t="e">
        <f t="shared" si="20"/>
        <v>#DIV/0!</v>
      </c>
      <c r="U96" s="59"/>
      <c r="V96" s="42"/>
      <c r="W96" s="25"/>
      <c r="X96" s="25"/>
      <c r="Y96" s="42"/>
      <c r="Z96" s="25"/>
      <c r="AA96" s="54"/>
    </row>
    <row r="97" spans="1:27">
      <c r="A97" s="35"/>
      <c r="B97" s="35"/>
      <c r="C97" s="35">
        <v>32</v>
      </c>
      <c r="D97" s="17">
        <f>Reference!B95</f>
        <v>0</v>
      </c>
      <c r="E97" s="18">
        <f>Reference!C95</f>
        <v>0</v>
      </c>
      <c r="F97" s="18">
        <f>Reference!D95</f>
        <v>0</v>
      </c>
      <c r="G97" s="18">
        <f>Reference!E95</f>
        <v>0</v>
      </c>
      <c r="H97" s="18">
        <f>Reference!F95</f>
        <v>0</v>
      </c>
      <c r="I97" s="18">
        <f>Reference!G95</f>
        <v>0</v>
      </c>
      <c r="J97" s="19">
        <f t="shared" si="18"/>
        <v>0</v>
      </c>
      <c r="L97" s="17">
        <f>Test!B95</f>
        <v>0</v>
      </c>
      <c r="M97" s="18">
        <f>Test!C95</f>
        <v>0</v>
      </c>
      <c r="N97" s="18">
        <f>Test!D95</f>
        <v>0</v>
      </c>
      <c r="O97" s="18">
        <f>Test!E95</f>
        <v>0</v>
      </c>
      <c r="P97" s="18">
        <f>Test!F95</f>
        <v>0</v>
      </c>
      <c r="Q97" s="18">
        <f>Test!G95</f>
        <v>0</v>
      </c>
      <c r="R97" s="19">
        <f t="shared" si="19"/>
        <v>0</v>
      </c>
      <c r="S97" s="18" t="e">
        <f t="shared" si="20"/>
        <v>#DIV/0!</v>
      </c>
      <c r="T97" s="18" t="e">
        <f t="shared" si="20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>
      <c r="A98" s="35"/>
      <c r="B98" s="36"/>
      <c r="C98" s="36">
        <v>37</v>
      </c>
      <c r="D98" s="22">
        <f>Reference!B96</f>
        <v>0</v>
      </c>
      <c r="E98" s="23">
        <f>Reference!C96</f>
        <v>0</v>
      </c>
      <c r="F98" s="23">
        <f>Reference!D96</f>
        <v>0</v>
      </c>
      <c r="G98" s="23">
        <f>Reference!E96</f>
        <v>0</v>
      </c>
      <c r="H98" s="23">
        <f>Reference!F96</f>
        <v>0</v>
      </c>
      <c r="I98" s="23">
        <f>Reference!G96</f>
        <v>0</v>
      </c>
      <c r="J98" s="24">
        <f t="shared" si="18"/>
        <v>0</v>
      </c>
      <c r="L98" s="22">
        <f>Test!B96</f>
        <v>0</v>
      </c>
      <c r="M98" s="23">
        <f>Test!C96</f>
        <v>0</v>
      </c>
      <c r="N98" s="23">
        <f>Test!D96</f>
        <v>0</v>
      </c>
      <c r="O98" s="23">
        <f>Test!E96</f>
        <v>0</v>
      </c>
      <c r="P98" s="23">
        <f>Test!F96</f>
        <v>0</v>
      </c>
      <c r="Q98" s="23">
        <f>Test!G96</f>
        <v>0</v>
      </c>
      <c r="R98" s="24">
        <f t="shared" si="19"/>
        <v>0</v>
      </c>
      <c r="S98" s="18" t="e">
        <f t="shared" si="20"/>
        <v>#DIV/0!</v>
      </c>
      <c r="T98" s="18" t="e">
        <f t="shared" si="20"/>
        <v>#DIV/0!</v>
      </c>
      <c r="U98" s="59"/>
      <c r="V98" s="43"/>
      <c r="W98" s="55"/>
      <c r="X98" s="55"/>
      <c r="Y98" s="43"/>
      <c r="Z98" s="55"/>
      <c r="AA98" s="56"/>
    </row>
    <row r="99" spans="1:27">
      <c r="A99" s="35"/>
      <c r="B99" s="34" t="s">
        <v>64</v>
      </c>
      <c r="C99" s="34">
        <v>22</v>
      </c>
      <c r="D99" s="12">
        <f>Reference!B97</f>
        <v>0</v>
      </c>
      <c r="E99" s="13">
        <f>Reference!C97</f>
        <v>0</v>
      </c>
      <c r="F99" s="13">
        <f>Reference!D97</f>
        <v>0</v>
      </c>
      <c r="G99" s="13">
        <f>Reference!E97</f>
        <v>0</v>
      </c>
      <c r="H99" s="13">
        <f>Reference!F97</f>
        <v>0</v>
      </c>
      <c r="I99" s="13">
        <f>Reference!G97</f>
        <v>0</v>
      </c>
      <c r="J99" s="14">
        <f t="shared" si="18"/>
        <v>0</v>
      </c>
      <c r="L99" s="12">
        <f>Test!B97</f>
        <v>0</v>
      </c>
      <c r="M99" s="13">
        <f>Test!C97</f>
        <v>0</v>
      </c>
      <c r="N99" s="13">
        <f>Test!D97</f>
        <v>0</v>
      </c>
      <c r="O99" s="13">
        <f>Test!E97</f>
        <v>0</v>
      </c>
      <c r="P99" s="13">
        <f>Test!F97</f>
        <v>0</v>
      </c>
      <c r="Q99" s="13">
        <f>Test!G97</f>
        <v>0</v>
      </c>
      <c r="R99" s="14">
        <f t="shared" si="19"/>
        <v>0</v>
      </c>
      <c r="S99" s="18" t="e">
        <f t="shared" si="20"/>
        <v>#DIV/0!</v>
      </c>
      <c r="T99" s="18" t="e">
        <f t="shared" si="20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>
      <c r="A100" s="35"/>
      <c r="B100" s="35"/>
      <c r="C100" s="35">
        <v>27</v>
      </c>
      <c r="D100" s="17">
        <f>Reference!B98</f>
        <v>0</v>
      </c>
      <c r="E100" s="18">
        <f>Reference!C98</f>
        <v>0</v>
      </c>
      <c r="F100" s="18">
        <f>Reference!D98</f>
        <v>0</v>
      </c>
      <c r="G100" s="18">
        <f>Reference!E98</f>
        <v>0</v>
      </c>
      <c r="H100" s="18">
        <f>Reference!F98</f>
        <v>0</v>
      </c>
      <c r="I100" s="18">
        <f>Reference!G98</f>
        <v>0</v>
      </c>
      <c r="J100" s="19">
        <f t="shared" si="18"/>
        <v>0</v>
      </c>
      <c r="L100" s="17">
        <f>Test!B98</f>
        <v>0</v>
      </c>
      <c r="M100" s="18">
        <f>Test!C98</f>
        <v>0</v>
      </c>
      <c r="N100" s="18">
        <f>Test!D98</f>
        <v>0</v>
      </c>
      <c r="O100" s="18">
        <f>Test!E98</f>
        <v>0</v>
      </c>
      <c r="P100" s="18">
        <f>Test!F98</f>
        <v>0</v>
      </c>
      <c r="Q100" s="18">
        <f>Test!G98</f>
        <v>0</v>
      </c>
      <c r="R100" s="19">
        <f t="shared" si="19"/>
        <v>0</v>
      </c>
      <c r="S100" s="18" t="e">
        <f t="shared" si="20"/>
        <v>#DIV/0!</v>
      </c>
      <c r="T100" s="18" t="e">
        <f t="shared" si="20"/>
        <v>#DIV/0!</v>
      </c>
      <c r="U100" s="59"/>
      <c r="V100" s="42"/>
      <c r="W100" s="25"/>
      <c r="X100" s="25"/>
      <c r="Y100" s="42"/>
      <c r="Z100" s="25"/>
      <c r="AA100" s="54"/>
    </row>
    <row r="101" spans="1:27">
      <c r="A101" s="35"/>
      <c r="B101" s="35"/>
      <c r="C101" s="35">
        <v>32</v>
      </c>
      <c r="D101" s="17">
        <f>Reference!B99</f>
        <v>0</v>
      </c>
      <c r="E101" s="18">
        <f>Reference!C99</f>
        <v>0</v>
      </c>
      <c r="F101" s="18">
        <f>Reference!D99</f>
        <v>0</v>
      </c>
      <c r="G101" s="18">
        <f>Reference!E99</f>
        <v>0</v>
      </c>
      <c r="H101" s="18">
        <f>Reference!F99</f>
        <v>0</v>
      </c>
      <c r="I101" s="18">
        <f>Reference!G99</f>
        <v>0</v>
      </c>
      <c r="J101" s="19">
        <f t="shared" si="18"/>
        <v>0</v>
      </c>
      <c r="L101" s="17">
        <f>Test!B99</f>
        <v>0</v>
      </c>
      <c r="M101" s="18">
        <f>Test!C99</f>
        <v>0</v>
      </c>
      <c r="N101" s="18">
        <f>Test!D99</f>
        <v>0</v>
      </c>
      <c r="O101" s="18">
        <f>Test!E99</f>
        <v>0</v>
      </c>
      <c r="P101" s="18">
        <f>Test!F99</f>
        <v>0</v>
      </c>
      <c r="Q101" s="18">
        <f>Test!G99</f>
        <v>0</v>
      </c>
      <c r="R101" s="19">
        <f t="shared" si="19"/>
        <v>0</v>
      </c>
      <c r="S101" s="18" t="e">
        <f t="shared" si="20"/>
        <v>#DIV/0!</v>
      </c>
      <c r="T101" s="18" t="e">
        <f t="shared" si="20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>
      <c r="A102" s="35"/>
      <c r="B102" s="36"/>
      <c r="C102" s="36">
        <v>37</v>
      </c>
      <c r="D102" s="22">
        <f>Reference!B100</f>
        <v>0</v>
      </c>
      <c r="E102" s="23">
        <f>Reference!C100</f>
        <v>0</v>
      </c>
      <c r="F102" s="23">
        <f>Reference!D100</f>
        <v>0</v>
      </c>
      <c r="G102" s="23">
        <f>Reference!E100</f>
        <v>0</v>
      </c>
      <c r="H102" s="23">
        <f>Reference!F100</f>
        <v>0</v>
      </c>
      <c r="I102" s="23">
        <f>Reference!G100</f>
        <v>0</v>
      </c>
      <c r="J102" s="24">
        <f t="shared" si="18"/>
        <v>0</v>
      </c>
      <c r="L102" s="22">
        <f>Test!B100</f>
        <v>0</v>
      </c>
      <c r="M102" s="23">
        <f>Test!C100</f>
        <v>0</v>
      </c>
      <c r="N102" s="23">
        <f>Test!D100</f>
        <v>0</v>
      </c>
      <c r="O102" s="23">
        <f>Test!E100</f>
        <v>0</v>
      </c>
      <c r="P102" s="23">
        <f>Test!F100</f>
        <v>0</v>
      </c>
      <c r="Q102" s="23">
        <f>Test!G100</f>
        <v>0</v>
      </c>
      <c r="R102" s="24">
        <f t="shared" si="19"/>
        <v>0</v>
      </c>
      <c r="S102" s="18" t="e">
        <f t="shared" si="20"/>
        <v>#DIV/0!</v>
      </c>
      <c r="T102" s="18" t="e">
        <f t="shared" si="20"/>
        <v>#DIV/0!</v>
      </c>
      <c r="U102" s="59"/>
      <c r="V102" s="43"/>
      <c r="W102" s="55"/>
      <c r="X102" s="55"/>
      <c r="Y102" s="43"/>
      <c r="Z102" s="55"/>
      <c r="AA102" s="56"/>
    </row>
    <row r="103" spans="1:27">
      <c r="A103" s="35"/>
      <c r="B103" s="34" t="s">
        <v>65</v>
      </c>
      <c r="C103" s="34">
        <v>22</v>
      </c>
      <c r="D103" s="12">
        <f>Reference!B101</f>
        <v>0</v>
      </c>
      <c r="E103" s="13">
        <f>Reference!C101</f>
        <v>0</v>
      </c>
      <c r="F103" s="13">
        <f>Reference!D101</f>
        <v>0</v>
      </c>
      <c r="G103" s="13">
        <f>Reference!E101</f>
        <v>0</v>
      </c>
      <c r="H103" s="13">
        <f>Reference!F101</f>
        <v>0</v>
      </c>
      <c r="I103" s="13">
        <f>Reference!G101</f>
        <v>0</v>
      </c>
      <c r="J103" s="14">
        <f t="shared" si="18"/>
        <v>0</v>
      </c>
      <c r="L103" s="12">
        <f>Test!B101</f>
        <v>0</v>
      </c>
      <c r="M103" s="13">
        <f>Test!C101</f>
        <v>0</v>
      </c>
      <c r="N103" s="13">
        <f>Test!D101</f>
        <v>0</v>
      </c>
      <c r="O103" s="13">
        <f>Test!E101</f>
        <v>0</v>
      </c>
      <c r="P103" s="13">
        <f>Test!F101</f>
        <v>0</v>
      </c>
      <c r="Q103" s="13">
        <f>Test!G101</f>
        <v>0</v>
      </c>
      <c r="R103" s="14">
        <f t="shared" si="19"/>
        <v>0</v>
      </c>
      <c r="S103" s="18" t="e">
        <f t="shared" si="20"/>
        <v>#DIV/0!</v>
      </c>
      <c r="T103" s="18" t="e">
        <f t="shared" si="20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>
      <c r="A104" s="35"/>
      <c r="B104" s="35"/>
      <c r="C104" s="35">
        <v>27</v>
      </c>
      <c r="D104" s="17">
        <f>Reference!B102</f>
        <v>0</v>
      </c>
      <c r="E104" s="18">
        <f>Reference!C102</f>
        <v>0</v>
      </c>
      <c r="F104" s="18">
        <f>Reference!D102</f>
        <v>0</v>
      </c>
      <c r="G104" s="18">
        <f>Reference!E102</f>
        <v>0</v>
      </c>
      <c r="H104" s="18">
        <f>Reference!F102</f>
        <v>0</v>
      </c>
      <c r="I104" s="18">
        <f>Reference!G102</f>
        <v>0</v>
      </c>
      <c r="J104" s="19">
        <f t="shared" si="18"/>
        <v>0</v>
      </c>
      <c r="L104" s="17">
        <f>Test!B102</f>
        <v>0</v>
      </c>
      <c r="M104" s="18">
        <f>Test!C102</f>
        <v>0</v>
      </c>
      <c r="N104" s="18">
        <f>Test!D102</f>
        <v>0</v>
      </c>
      <c r="O104" s="18">
        <f>Test!E102</f>
        <v>0</v>
      </c>
      <c r="P104" s="18">
        <f>Test!F102</f>
        <v>0</v>
      </c>
      <c r="Q104" s="18">
        <f>Test!G102</f>
        <v>0</v>
      </c>
      <c r="R104" s="19">
        <f t="shared" si="19"/>
        <v>0</v>
      </c>
      <c r="S104" s="18" t="e">
        <f t="shared" si="20"/>
        <v>#DIV/0!</v>
      </c>
      <c r="T104" s="18" t="e">
        <f t="shared" si="20"/>
        <v>#DIV/0!</v>
      </c>
      <c r="U104" s="59"/>
      <c r="V104" s="42"/>
      <c r="W104" s="25"/>
      <c r="X104" s="25"/>
      <c r="Y104" s="42"/>
      <c r="Z104" s="25"/>
      <c r="AA104" s="54"/>
    </row>
    <row r="105" spans="1:27">
      <c r="A105" s="35"/>
      <c r="B105" s="35"/>
      <c r="C105" s="35">
        <v>32</v>
      </c>
      <c r="D105" s="17">
        <f>Reference!B103</f>
        <v>0</v>
      </c>
      <c r="E105" s="18">
        <f>Reference!C103</f>
        <v>0</v>
      </c>
      <c r="F105" s="18">
        <f>Reference!D103</f>
        <v>0</v>
      </c>
      <c r="G105" s="18">
        <f>Reference!E103</f>
        <v>0</v>
      </c>
      <c r="H105" s="18">
        <f>Reference!F103</f>
        <v>0</v>
      </c>
      <c r="I105" s="18">
        <f>Reference!G103</f>
        <v>0</v>
      </c>
      <c r="J105" s="19">
        <f t="shared" si="18"/>
        <v>0</v>
      </c>
      <c r="L105" s="17">
        <f>Test!B103</f>
        <v>0</v>
      </c>
      <c r="M105" s="18">
        <f>Test!C103</f>
        <v>0</v>
      </c>
      <c r="N105" s="18">
        <f>Test!D103</f>
        <v>0</v>
      </c>
      <c r="O105" s="18">
        <f>Test!E103</f>
        <v>0</v>
      </c>
      <c r="P105" s="18">
        <f>Test!F103</f>
        <v>0</v>
      </c>
      <c r="Q105" s="18">
        <f>Test!G103</f>
        <v>0</v>
      </c>
      <c r="R105" s="19">
        <f t="shared" si="19"/>
        <v>0</v>
      </c>
      <c r="S105" s="18" t="e">
        <f t="shared" si="20"/>
        <v>#DIV/0!</v>
      </c>
      <c r="T105" s="18" t="e">
        <f t="shared" si="20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>
      <c r="A106" s="36"/>
      <c r="B106" s="36"/>
      <c r="C106" s="36">
        <v>37</v>
      </c>
      <c r="D106" s="22">
        <f>Reference!B104</f>
        <v>0</v>
      </c>
      <c r="E106" s="23">
        <f>Reference!C104</f>
        <v>0</v>
      </c>
      <c r="F106" s="23">
        <f>Reference!D104</f>
        <v>0</v>
      </c>
      <c r="G106" s="23">
        <f>Reference!E104</f>
        <v>0</v>
      </c>
      <c r="H106" s="23">
        <f>Reference!F104</f>
        <v>0</v>
      </c>
      <c r="I106" s="23">
        <f>Reference!G104</f>
        <v>0</v>
      </c>
      <c r="J106" s="24">
        <f t="shared" si="18"/>
        <v>0</v>
      </c>
      <c r="L106" s="22">
        <f>Test!B104</f>
        <v>0</v>
      </c>
      <c r="M106" s="23">
        <f>Test!C104</f>
        <v>0</v>
      </c>
      <c r="N106" s="23">
        <f>Test!D104</f>
        <v>0</v>
      </c>
      <c r="O106" s="23">
        <f>Test!E104</f>
        <v>0</v>
      </c>
      <c r="P106" s="23">
        <f>Test!F104</f>
        <v>0</v>
      </c>
      <c r="Q106" s="23">
        <f>Test!G104</f>
        <v>0</v>
      </c>
      <c r="R106" s="24">
        <f t="shared" si="19"/>
        <v>0</v>
      </c>
      <c r="S106" s="23" t="e">
        <f t="shared" si="20"/>
        <v>#DIV/0!</v>
      </c>
      <c r="T106" s="23" t="e">
        <f t="shared" si="20"/>
        <v>#DIV/0!</v>
      </c>
      <c r="U106" s="60"/>
      <c r="V106" s="43"/>
      <c r="W106" s="55"/>
      <c r="X106" s="55"/>
      <c r="Y106" s="43"/>
      <c r="Z106" s="55"/>
      <c r="AA106" s="56"/>
    </row>
    <row r="107" spans="1:27">
      <c r="B107" s="1" t="s">
        <v>72</v>
      </c>
      <c r="I107" s="15">
        <f>GEOMEAN(I3:I14)</f>
        <v>24.872614548379786</v>
      </c>
      <c r="J107" s="15">
        <f>GEOMEAN(J3:J14)</f>
        <v>7.6982909387527449</v>
      </c>
      <c r="Q107" s="15">
        <f>GEOMEAN(Q3:Q14)</f>
        <v>25.170025078400972</v>
      </c>
      <c r="R107" s="15">
        <f>GEOMEAN(R3:R14)</f>
        <v>15.647677868447865</v>
      </c>
      <c r="S107" s="15">
        <f>GEOMEAN(S3:S14)</f>
        <v>2.0326171085166935</v>
      </c>
      <c r="T107" s="15">
        <f>GEOMEAN(T3:T14)</f>
        <v>1.011957348892401</v>
      </c>
      <c r="V107" s="41">
        <f t="shared" ref="V107:AA107" si="21">AVERAGE(V3:V14)</f>
        <v>-2.967502050498198E-2</v>
      </c>
      <c r="W107" s="46">
        <f t="shared" si="21"/>
        <v>-1.5599452141218087E-2</v>
      </c>
      <c r="X107" s="46">
        <f t="shared" si="21"/>
        <v>-1.446549950953202E-2</v>
      </c>
      <c r="Y107" s="41">
        <f t="shared" si="21"/>
        <v>-2.9596452942063034E-2</v>
      </c>
      <c r="Z107" s="46">
        <f t="shared" si="21"/>
        <v>-1.5463086714121407E-2</v>
      </c>
      <c r="AA107" s="47">
        <f t="shared" si="21"/>
        <v>-1.4581387931669262E-2</v>
      </c>
    </row>
    <row r="108" spans="1:27">
      <c r="B108" s="1" t="s">
        <v>73</v>
      </c>
      <c r="I108" s="15">
        <f>GEOMEAN(I15:I26)</f>
        <v>28.608837726159003</v>
      </c>
      <c r="J108" s="15">
        <f>GEOMEAN(J15:J26)</f>
        <v>8.6656783480724027</v>
      </c>
      <c r="Q108" s="15">
        <f>GEOMEAN(Q15:Q26)</f>
        <v>29.389704984457516</v>
      </c>
      <c r="R108" s="15">
        <f>GEOMEAN(R15:R26)</f>
        <v>17.768817496504418</v>
      </c>
      <c r="S108" s="15">
        <f>GEOMEAN(S15:S26)</f>
        <v>2.0504820029994444</v>
      </c>
      <c r="T108" s="15">
        <f>GEOMEAN(T15:T26)</f>
        <v>1.0272946166416441</v>
      </c>
      <c r="V108" s="44">
        <f t="shared" ref="V108:AA108" si="22">AVERAGE(V15:V26)</f>
        <v>-2.6389161207695005E-2</v>
      </c>
      <c r="W108" s="48">
        <f t="shared" si="22"/>
        <v>-1.6339981266286812E-2</v>
      </c>
      <c r="X108" s="48">
        <f t="shared" si="22"/>
        <v>-1.6017862922260706E-2</v>
      </c>
      <c r="Y108" s="44">
        <f t="shared" si="22"/>
        <v>-2.4733934212594288E-2</v>
      </c>
      <c r="Z108" s="48">
        <f t="shared" si="22"/>
        <v>-1.6255642303719935E-2</v>
      </c>
      <c r="AA108" s="49">
        <f t="shared" si="22"/>
        <v>-1.5972961126951939E-2</v>
      </c>
    </row>
    <row r="109" spans="1:27">
      <c r="B109" s="1" t="s">
        <v>1</v>
      </c>
      <c r="I109" s="15">
        <f>GEOMEAN(I27:I46)</f>
        <v>24.021308186940473</v>
      </c>
      <c r="J109" s="15">
        <f>GEOMEAN(J27:J46)</f>
        <v>5.3255650348048889</v>
      </c>
      <c r="Q109" s="15">
        <f>GEOMEAN(Q27:Q46)</f>
        <v>25.690857197609731</v>
      </c>
      <c r="R109" s="15">
        <f>GEOMEAN(R27:R46)</f>
        <v>11.090854823443621</v>
      </c>
      <c r="S109" s="15">
        <f t="shared" ref="S109:T109" si="23">GEOMEAN(S27:S46)</f>
        <v>2.0825686572147837</v>
      </c>
      <c r="T109" s="15">
        <f t="shared" si="23"/>
        <v>1.069502834636497</v>
      </c>
      <c r="V109" s="44">
        <f>AVERAGE(V27:V46)</f>
        <v>-2.7761056408309726E-2</v>
      </c>
      <c r="W109" s="48">
        <f t="shared" ref="W109:AA109" si="24">AVERAGE(W27:W46)</f>
        <v>-1.4758931423960453E-2</v>
      </c>
      <c r="X109" s="48">
        <f t="shared" si="24"/>
        <v>-1.4467164934157584E-2</v>
      </c>
      <c r="Y109" s="44">
        <f t="shared" si="24"/>
        <v>-2.7616335163866457E-2</v>
      </c>
      <c r="Z109" s="48">
        <f t="shared" si="24"/>
        <v>-1.4840697344689758E-2</v>
      </c>
      <c r="AA109" s="49">
        <f t="shared" si="24"/>
        <v>-1.4406329099131688E-2</v>
      </c>
    </row>
    <row r="110" spans="1:27">
      <c r="B110" s="1" t="s">
        <v>5</v>
      </c>
      <c r="I110" s="15">
        <f>GEOMEAN(I47:I62)</f>
        <v>2.8878206118365273</v>
      </c>
      <c r="J110" s="15">
        <f>GEOMEAN(J47:J62)</f>
        <v>0.59321222951475294</v>
      </c>
      <c r="Q110" s="15">
        <f>GEOMEAN(Q47:Q62)</f>
        <v>3.0280980703441536</v>
      </c>
      <c r="R110" s="15">
        <f>GEOMEAN(R47:R62)</f>
        <v>1.1939990555347559</v>
      </c>
      <c r="S110" s="15">
        <f t="shared" ref="S110:T110" si="25">GEOMEAN(S47:S62)</f>
        <v>2.012768780089794</v>
      </c>
      <c r="T110" s="15">
        <f t="shared" si="25"/>
        <v>1.048575544454756</v>
      </c>
      <c r="V110" s="44">
        <f>AVERAGE(V47:V62)</f>
        <v>-2.1059774633232192E-2</v>
      </c>
      <c r="W110" s="48">
        <f t="shared" ref="W110:AA110" si="26">AVERAGE(W47:W62)</f>
        <v>-1.0156890126258034E-2</v>
      </c>
      <c r="X110" s="48">
        <f t="shared" si="26"/>
        <v>-1.221623879096137E-2</v>
      </c>
      <c r="Y110" s="44">
        <f t="shared" si="26"/>
        <v>-2.1061797242759528E-2</v>
      </c>
      <c r="Z110" s="48">
        <f t="shared" si="26"/>
        <v>-1.0145157185915743E-2</v>
      </c>
      <c r="AA110" s="49">
        <f t="shared" si="26"/>
        <v>-1.192535168441089E-2</v>
      </c>
    </row>
    <row r="111" spans="1:27">
      <c r="B111" s="1" t="s">
        <v>6</v>
      </c>
      <c r="I111" s="15">
        <f>GEOMEAN(I63:I78)</f>
        <v>0.82867506455983042</v>
      </c>
      <c r="J111" s="15">
        <f>GEOMEAN(J63:J78)</f>
        <v>0.17293332836099753</v>
      </c>
      <c r="Q111" s="15">
        <f>GEOMEAN(Q63:Q78)</f>
        <v>0.8441937289959115</v>
      </c>
      <c r="R111" s="15">
        <f>GEOMEAN(R63:R78)</f>
        <v>0.34260180151525527</v>
      </c>
      <c r="S111" s="15">
        <f t="shared" ref="S111:T111" si="27">GEOMEAN(S63:S78)</f>
        <v>1.9811207287936745</v>
      </c>
      <c r="T111" s="15">
        <f t="shared" si="27"/>
        <v>1.0187270802510802</v>
      </c>
      <c r="V111" s="44">
        <f>AVERAGE(V63:V78)</f>
        <v>-2.0033471619508358E-2</v>
      </c>
      <c r="W111" s="48">
        <f t="shared" ref="W111:AA111" si="28">AVERAGE(W63:W78)</f>
        <v>-7.9377537837191092E-3</v>
      </c>
      <c r="X111" s="48">
        <f t="shared" si="28"/>
        <v>-7.7165186579377376E-3</v>
      </c>
      <c r="Y111" s="44">
        <f t="shared" si="28"/>
        <v>-2.0008459148759872E-2</v>
      </c>
      <c r="Z111" s="48">
        <f t="shared" si="28"/>
        <v>-8.1960638530019503E-3</v>
      </c>
      <c r="AA111" s="49">
        <f t="shared" si="28"/>
        <v>-7.6854446054634151E-3</v>
      </c>
    </row>
    <row r="112" spans="1:27">
      <c r="B112" s="1" t="s">
        <v>7</v>
      </c>
      <c r="I112" s="15">
        <f>GEOMEAN(I79:I90)</f>
        <v>5.2839823124142482</v>
      </c>
      <c r="J112" s="15">
        <f>GEOMEAN(J79:J90)</f>
        <v>1.1352485680420636</v>
      </c>
      <c r="Q112" s="15">
        <f>GEOMEAN(Q79:Q90)</f>
        <v>5.5243166627248703</v>
      </c>
      <c r="R112" s="15">
        <f>GEOMEAN(R79:R90)</f>
        <v>2.2657923261039929</v>
      </c>
      <c r="S112" s="15">
        <f t="shared" ref="S112:T112" si="29">GEOMEAN(S79:S90)</f>
        <v>1.9958557005817248</v>
      </c>
      <c r="T112" s="15">
        <f t="shared" si="29"/>
        <v>1.0454835644975531</v>
      </c>
      <c r="V112" s="44">
        <f>AVERAGE(V79:V88)</f>
        <v>-3.3044970381082596E-2</v>
      </c>
      <c r="W112" s="48">
        <f t="shared" ref="W112:AA112" si="30">AVERAGE(W79:W88)</f>
        <v>-2.1770586630507016E-2</v>
      </c>
      <c r="X112" s="48">
        <f t="shared" si="30"/>
        <v>-2.2563240393899786E-2</v>
      </c>
      <c r="Y112" s="44">
        <f t="shared" si="30"/>
        <v>-3.302646264035488E-2</v>
      </c>
      <c r="Z112" s="48">
        <f t="shared" si="30"/>
        <v>-2.1848727992711019E-2</v>
      </c>
      <c r="AA112" s="49">
        <f t="shared" si="30"/>
        <v>-2.2404784150476049E-2</v>
      </c>
    </row>
    <row r="113" spans="1:27" ht="12.75" thickBot="1">
      <c r="B113" s="1" t="s">
        <v>44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1">GEOMEAN(S91:S106)</f>
        <v>#DIV/0!</v>
      </c>
      <c r="T113" s="15" t="e">
        <f t="shared" si="31"/>
        <v>#DIV/0!</v>
      </c>
      <c r="V113" s="44" t="e">
        <f>AVERAGE(V91:V106)</f>
        <v>#VALUE!</v>
      </c>
      <c r="W113" s="48" t="e">
        <f t="shared" ref="W113:AA113" si="32">AVERAGE(W91:W106)</f>
        <v>#VALUE!</v>
      </c>
      <c r="X113" s="48" t="e">
        <f t="shared" si="32"/>
        <v>#VALUE!</v>
      </c>
      <c r="Y113" s="44" t="e">
        <f t="shared" si="32"/>
        <v>#VALUE!</v>
      </c>
      <c r="Z113" s="48" t="e">
        <f t="shared" si="32"/>
        <v>#VALUE!</v>
      </c>
      <c r="AA113" s="49" t="e">
        <f t="shared" si="32"/>
        <v>#VALUE!</v>
      </c>
    </row>
    <row r="114" spans="1:27" ht="12.75" thickBot="1">
      <c r="A114" s="3"/>
      <c r="B114" s="4" t="s">
        <v>8</v>
      </c>
      <c r="C114" s="4"/>
      <c r="D114" s="4"/>
      <c r="E114" s="4"/>
      <c r="F114" s="4"/>
      <c r="G114" s="4"/>
      <c r="H114" s="4"/>
      <c r="I114" s="61">
        <f>GEOMEAN(I3:I62, I79:I90)</f>
        <v>12.07012705566677</v>
      </c>
      <c r="J114" s="61">
        <f>GEOMEAN(J3:J62,J79:J90)</f>
        <v>2.9146414225303841</v>
      </c>
      <c r="K114" s="4"/>
      <c r="L114" s="4"/>
      <c r="M114" s="4"/>
      <c r="N114" s="4"/>
      <c r="O114" s="4"/>
      <c r="P114" s="4"/>
      <c r="Q114" s="61">
        <f>GEOMEAN(Q3:Q62,Q79:Q90)</f>
        <v>12.601571981779388</v>
      </c>
      <c r="R114" s="61">
        <f>GEOMEAN(R3:R62,R79:R90)</f>
        <v>5.9420296115934885</v>
      </c>
      <c r="S114" s="61">
        <f>GEOMEAN(S3:S62,S79:S90)</f>
        <v>2.0386828944587077</v>
      </c>
      <c r="T114" s="61">
        <f>GEOMEAN(T3:T62,T79:T90)</f>
        <v>1.0440297706612054</v>
      </c>
      <c r="U114" s="4"/>
      <c r="V114" s="45">
        <f>AVERAGE(V3:V62,V79:V90)</f>
        <v>-2.7242879825319786E-2</v>
      </c>
      <c r="W114" s="50">
        <f t="shared" ref="W114:AA114" si="33">AVERAGE(W3:W62,W79:W90)</f>
        <v>-1.5308459874381675E-2</v>
      </c>
      <c r="X114" s="50">
        <f t="shared" si="33"/>
        <v>-1.5574477128428386E-2</v>
      </c>
      <c r="Y114" s="45">
        <f>AVERAGE(Y3:Y62,Y79:Y90)</f>
        <v>-2.6911078565300388E-2</v>
      </c>
      <c r="Z114" s="50">
        <f t="shared" si="33"/>
        <v>-1.5304804805487158E-2</v>
      </c>
      <c r="AA114" s="51">
        <f t="shared" si="33"/>
        <v>-1.5478358436699653E-2</v>
      </c>
    </row>
    <row r="115" spans="1:27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>
      <c r="B117" s="1" t="s">
        <v>11</v>
      </c>
      <c r="I117" s="26"/>
      <c r="J117" s="26"/>
      <c r="Q117" s="26"/>
      <c r="R117" s="26"/>
      <c r="S117" s="26"/>
      <c r="T117" s="26"/>
    </row>
    <row r="118" spans="1:27">
      <c r="V118" s="39">
        <f>AVERAGE(V3,V15,V35,V39,V47,V51,V63,V67,V71,V75,V79)</f>
        <v>-2.5002248259715996E-2</v>
      </c>
      <c r="W118" s="39">
        <f t="shared" ref="W118:X118" si="34">AVERAGE(W3,W15,W35,W39,W47,W51,W63,W67,W71,W75,W79)</f>
        <v>-1.3008511533378442E-2</v>
      </c>
      <c r="X118" s="39">
        <f t="shared" si="34"/>
        <v>-1.3131568168344781E-2</v>
      </c>
    </row>
    <row r="119" spans="1:27">
      <c r="B119" s="1" t="s">
        <v>524</v>
      </c>
      <c r="V119" s="39">
        <f>AVERAGE(V3,V15,V35,V39,V47,V51,V79)</f>
        <v>-2.7841549196977504E-2</v>
      </c>
      <c r="W119" s="39">
        <f t="shared" ref="W119:X119" si="35">AVERAGE(W3,W15,W35,W39,W47,W51,W79)</f>
        <v>-1.5906087390326635E-2</v>
      </c>
      <c r="X119" s="39">
        <f t="shared" si="35"/>
        <v>-1.6225882174291661E-2</v>
      </c>
    </row>
    <row r="120" spans="1:27">
      <c r="V120" s="39">
        <f>AVERAGE(V7,V11,V19,V23,V27,V31,V43,V55,V59,V83,V87)</f>
        <v>-2.6861908406992149E-2</v>
      </c>
      <c r="W120" s="39">
        <f t="shared" ref="W120:X120" si="36">AVERAGE(W7,W11,W19,W23,W27,W31,W43,W55,W59,W83,W87)</f>
        <v>-1.4928151455143973E-2</v>
      </c>
      <c r="X120" s="39">
        <f t="shared" si="36"/>
        <v>-1.5159946644697209E-2</v>
      </c>
    </row>
  </sheetData>
  <mergeCells count="4">
    <mergeCell ref="D1:J1"/>
    <mergeCell ref="L1:R1"/>
    <mergeCell ref="V1:X1"/>
    <mergeCell ref="Y1:AA1"/>
  </mergeCells>
  <conditionalFormatting sqref="Y11">
    <cfRule type="cellIs" dxfId="957" priority="223" operator="greaterThan">
      <formula>0.03</formula>
    </cfRule>
    <cfRule type="cellIs" dxfId="956" priority="224" stopIfTrue="1" operator="lessThan">
      <formula>-0.03</formula>
    </cfRule>
  </conditionalFormatting>
  <conditionalFormatting sqref="V3:X14">
    <cfRule type="cellIs" dxfId="955" priority="237" operator="greaterThan">
      <formula>0.03</formula>
    </cfRule>
    <cfRule type="cellIs" dxfId="954" priority="238" stopIfTrue="1" operator="lessThan">
      <formula>-0.03</formula>
    </cfRule>
  </conditionalFormatting>
  <conditionalFormatting sqref="Y3">
    <cfRule type="cellIs" dxfId="953" priority="235" operator="greaterThan">
      <formula>0.03</formula>
    </cfRule>
    <cfRule type="cellIs" dxfId="952" priority="236" stopIfTrue="1" operator="lessThan">
      <formula>-0.03</formula>
    </cfRule>
  </conditionalFormatting>
  <conditionalFormatting sqref="Z3">
    <cfRule type="cellIs" dxfId="951" priority="233" operator="greaterThan">
      <formula>0.03</formula>
    </cfRule>
    <cfRule type="cellIs" dxfId="950" priority="234" stopIfTrue="1" operator="lessThan">
      <formula>-0.03</formula>
    </cfRule>
  </conditionalFormatting>
  <conditionalFormatting sqref="AA3">
    <cfRule type="cellIs" dxfId="949" priority="231" operator="greaterThan">
      <formula>0.03</formula>
    </cfRule>
    <cfRule type="cellIs" dxfId="948" priority="232" stopIfTrue="1" operator="lessThan">
      <formula>-0.03</formula>
    </cfRule>
  </conditionalFormatting>
  <conditionalFormatting sqref="Y7">
    <cfRule type="cellIs" dxfId="947" priority="229" operator="greaterThan">
      <formula>0.03</formula>
    </cfRule>
    <cfRule type="cellIs" dxfId="946" priority="230" stopIfTrue="1" operator="lessThan">
      <formula>-0.03</formula>
    </cfRule>
  </conditionalFormatting>
  <conditionalFormatting sqref="Z7">
    <cfRule type="cellIs" dxfId="945" priority="227" operator="greaterThan">
      <formula>0.03</formula>
    </cfRule>
    <cfRule type="cellIs" dxfId="944" priority="228" stopIfTrue="1" operator="lessThan">
      <formula>-0.03</formula>
    </cfRule>
  </conditionalFormatting>
  <conditionalFormatting sqref="AA7">
    <cfRule type="cellIs" dxfId="943" priority="225" operator="greaterThan">
      <formula>0.03</formula>
    </cfRule>
    <cfRule type="cellIs" dxfId="942" priority="226" stopIfTrue="1" operator="lessThan">
      <formula>-0.03</formula>
    </cfRule>
  </conditionalFormatting>
  <conditionalFormatting sqref="Z11">
    <cfRule type="cellIs" dxfId="941" priority="221" operator="greaterThan">
      <formula>0.03</formula>
    </cfRule>
    <cfRule type="cellIs" dxfId="940" priority="222" stopIfTrue="1" operator="lessThan">
      <formula>-0.03</formula>
    </cfRule>
  </conditionalFormatting>
  <conditionalFormatting sqref="AA11">
    <cfRule type="cellIs" dxfId="939" priority="219" operator="greaterThan">
      <formula>0.03</formula>
    </cfRule>
    <cfRule type="cellIs" dxfId="938" priority="220" stopIfTrue="1" operator="lessThan">
      <formula>-0.03</formula>
    </cfRule>
  </conditionalFormatting>
  <conditionalFormatting sqref="Y14:Z14">
    <cfRule type="cellIs" dxfId="937" priority="213" operator="greaterThan">
      <formula>0.03</formula>
    </cfRule>
    <cfRule type="cellIs" dxfId="936" priority="214" stopIfTrue="1" operator="lessThan">
      <formula>-0.03</formula>
    </cfRule>
  </conditionalFormatting>
  <conditionalFormatting sqref="Y6:Z6">
    <cfRule type="cellIs" dxfId="935" priority="217" operator="greaterThan">
      <formula>0.03</formula>
    </cfRule>
    <cfRule type="cellIs" dxfId="934" priority="218" stopIfTrue="1" operator="lessThan">
      <formula>-0.03</formula>
    </cfRule>
  </conditionalFormatting>
  <conditionalFormatting sqref="Y10:Z10">
    <cfRule type="cellIs" dxfId="933" priority="215" operator="greaterThan">
      <formula>0.03</formula>
    </cfRule>
    <cfRule type="cellIs" dxfId="932" priority="216" stopIfTrue="1" operator="lessThan">
      <formula>-0.03</formula>
    </cfRule>
  </conditionalFormatting>
  <conditionalFormatting sqref="V110:AA110">
    <cfRule type="cellIs" dxfId="931" priority="205" operator="greaterThan">
      <formula>0.03</formula>
    </cfRule>
    <cfRule type="cellIs" dxfId="930" priority="206" stopIfTrue="1" operator="lessThan">
      <formula>-0.03</formula>
    </cfRule>
  </conditionalFormatting>
  <conditionalFormatting sqref="Y94:Z94">
    <cfRule type="cellIs" dxfId="929" priority="33" operator="greaterThan">
      <formula>0.03</formula>
    </cfRule>
    <cfRule type="cellIs" dxfId="928" priority="34" stopIfTrue="1" operator="lessThan">
      <formula>-0.03</formula>
    </cfRule>
  </conditionalFormatting>
  <conditionalFormatting sqref="V113:AA113">
    <cfRule type="cellIs" dxfId="927" priority="203" operator="greaterThan">
      <formula>0.03</formula>
    </cfRule>
    <cfRule type="cellIs" dxfId="926" priority="204" stopIfTrue="1" operator="lessThan">
      <formula>-0.03</formula>
    </cfRule>
  </conditionalFormatting>
  <conditionalFormatting sqref="V114:AA114">
    <cfRule type="cellIs" dxfId="925" priority="211" operator="greaterThan">
      <formula>0.03</formula>
    </cfRule>
    <cfRule type="cellIs" dxfId="924" priority="212" stopIfTrue="1" operator="lessThan">
      <formula>-0.03</formula>
    </cfRule>
  </conditionalFormatting>
  <conditionalFormatting sqref="V107:AA107 V109:AA109">
    <cfRule type="cellIs" dxfId="923" priority="207" operator="greaterThan">
      <formula>0.03</formula>
    </cfRule>
    <cfRule type="cellIs" dxfId="922" priority="208" stopIfTrue="1" operator="lessThan">
      <formula>-0.03</formula>
    </cfRule>
  </conditionalFormatting>
  <conditionalFormatting sqref="V111:AA112">
    <cfRule type="cellIs" dxfId="921" priority="209" operator="greaterThan">
      <formula>0.03</formula>
    </cfRule>
    <cfRule type="cellIs" dxfId="920" priority="210" stopIfTrue="1" operator="lessThan">
      <formula>-0.03</formula>
    </cfRule>
  </conditionalFormatting>
  <conditionalFormatting sqref="Z103">
    <cfRule type="cellIs" dxfId="919" priority="37" operator="greaterThan">
      <formula>0.03</formula>
    </cfRule>
    <cfRule type="cellIs" dxfId="918" priority="38" stopIfTrue="1" operator="lessThan">
      <formula>-0.03</formula>
    </cfRule>
  </conditionalFormatting>
  <conditionalFormatting sqref="Y103">
    <cfRule type="cellIs" dxfId="917" priority="39" operator="greaterThan">
      <formula>0.03</formula>
    </cfRule>
    <cfRule type="cellIs" dxfId="916" priority="40" stopIfTrue="1" operator="lessThan">
      <formula>-0.03</formula>
    </cfRule>
  </conditionalFormatting>
  <conditionalFormatting sqref="AA103">
    <cfRule type="cellIs" dxfId="915" priority="35" operator="greaterThan">
      <formula>0.03</formula>
    </cfRule>
    <cfRule type="cellIs" dxfId="914" priority="36" stopIfTrue="1" operator="lessThan">
      <formula>-0.03</formula>
    </cfRule>
  </conditionalFormatting>
  <conditionalFormatting sqref="V79:X90">
    <cfRule type="cellIs" dxfId="913" priority="25" operator="greaterThan">
      <formula>0.03</formula>
    </cfRule>
    <cfRule type="cellIs" dxfId="912" priority="26" stopIfTrue="1" operator="lessThan">
      <formula>-0.03</formula>
    </cfRule>
  </conditionalFormatting>
  <conditionalFormatting sqref="Y79">
    <cfRule type="cellIs" dxfId="911" priority="23" operator="greaterThan">
      <formula>0.03</formula>
    </cfRule>
    <cfRule type="cellIs" dxfId="910" priority="24" stopIfTrue="1" operator="lessThan">
      <formula>-0.03</formula>
    </cfRule>
  </conditionalFormatting>
  <conditionalFormatting sqref="Z87">
    <cfRule type="cellIs" dxfId="909" priority="9" operator="greaterThan">
      <formula>0.03</formula>
    </cfRule>
    <cfRule type="cellIs" dxfId="908" priority="10" stopIfTrue="1" operator="lessThan">
      <formula>-0.03</formula>
    </cfRule>
  </conditionalFormatting>
  <conditionalFormatting sqref="Z79">
    <cfRule type="cellIs" dxfId="907" priority="21" operator="greaterThan">
      <formula>0.03</formula>
    </cfRule>
    <cfRule type="cellIs" dxfId="906" priority="22" stopIfTrue="1" operator="lessThan">
      <formula>-0.03</formula>
    </cfRule>
  </conditionalFormatting>
  <conditionalFormatting sqref="Y86:Z86">
    <cfRule type="cellIs" dxfId="905" priority="3" operator="greaterThan">
      <formula>0.03</formula>
    </cfRule>
    <cfRule type="cellIs" dxfId="904" priority="4" stopIfTrue="1" operator="lessThan">
      <formula>-0.03</formula>
    </cfRule>
  </conditionalFormatting>
  <conditionalFormatting sqref="Y87">
    <cfRule type="cellIs" dxfId="903" priority="11" operator="greaterThan">
      <formula>0.03</formula>
    </cfRule>
    <cfRule type="cellIs" dxfId="902" priority="12" stopIfTrue="1" operator="lessThan">
      <formula>-0.03</formula>
    </cfRule>
  </conditionalFormatting>
  <conditionalFormatting sqref="AA79">
    <cfRule type="cellIs" dxfId="901" priority="19" operator="greaterThan">
      <formula>0.03</formula>
    </cfRule>
    <cfRule type="cellIs" dxfId="900" priority="20" stopIfTrue="1" operator="lessThan">
      <formula>-0.03</formula>
    </cfRule>
  </conditionalFormatting>
  <conditionalFormatting sqref="AA83">
    <cfRule type="cellIs" dxfId="899" priority="13" operator="greaterThan">
      <formula>0.03</formula>
    </cfRule>
    <cfRule type="cellIs" dxfId="898" priority="14" stopIfTrue="1" operator="lessThan">
      <formula>-0.03</formula>
    </cfRule>
  </conditionalFormatting>
  <conditionalFormatting sqref="Y82:Z82">
    <cfRule type="cellIs" dxfId="897" priority="5" operator="greaterThan">
      <formula>0.03</formula>
    </cfRule>
    <cfRule type="cellIs" dxfId="896" priority="6" stopIfTrue="1" operator="lessThan">
      <formula>-0.03</formula>
    </cfRule>
  </conditionalFormatting>
  <conditionalFormatting sqref="Y90:Z90">
    <cfRule type="cellIs" dxfId="895" priority="1" operator="greaterThan">
      <formula>0.03</formula>
    </cfRule>
    <cfRule type="cellIs" dxfId="894" priority="2" stopIfTrue="1" operator="lessThan">
      <formula>-0.03</formula>
    </cfRule>
  </conditionalFormatting>
  <conditionalFormatting sqref="Y83">
    <cfRule type="cellIs" dxfId="893" priority="17" operator="greaterThan">
      <formula>0.03</formula>
    </cfRule>
    <cfRule type="cellIs" dxfId="892" priority="18" stopIfTrue="1" operator="lessThan">
      <formula>-0.03</formula>
    </cfRule>
  </conditionalFormatting>
  <conditionalFormatting sqref="Z83">
    <cfRule type="cellIs" dxfId="891" priority="15" operator="greaterThan">
      <formula>0.03</formula>
    </cfRule>
    <cfRule type="cellIs" dxfId="890" priority="16" stopIfTrue="1" operator="lessThan">
      <formula>-0.03</formula>
    </cfRule>
  </conditionalFormatting>
  <conditionalFormatting sqref="AA87">
    <cfRule type="cellIs" dxfId="889" priority="7" operator="greaterThan">
      <formula>0.03</formula>
    </cfRule>
    <cfRule type="cellIs" dxfId="888" priority="8" stopIfTrue="1" operator="lessThan">
      <formula>-0.03</formula>
    </cfRule>
  </conditionalFormatting>
  <conditionalFormatting sqref="V108:AA108">
    <cfRule type="cellIs" dxfId="887" priority="201" operator="greaterThan">
      <formula>0.03</formula>
    </cfRule>
    <cfRule type="cellIs" dxfId="886" priority="202" stopIfTrue="1" operator="lessThan">
      <formula>-0.03</formula>
    </cfRule>
  </conditionalFormatting>
  <conditionalFormatting sqref="Y23">
    <cfRule type="cellIs" dxfId="885" priority="185" operator="greaterThan">
      <formula>0.03</formula>
    </cfRule>
    <cfRule type="cellIs" dxfId="884" priority="186" stopIfTrue="1" operator="lessThan">
      <formula>-0.03</formula>
    </cfRule>
  </conditionalFormatting>
  <conditionalFormatting sqref="V15:X26">
    <cfRule type="cellIs" dxfId="883" priority="199" operator="greaterThan">
      <formula>0.03</formula>
    </cfRule>
    <cfRule type="cellIs" dxfId="882" priority="200" stopIfTrue="1" operator="lessThan">
      <formula>-0.03</formula>
    </cfRule>
  </conditionalFormatting>
  <conditionalFormatting sqref="Y15">
    <cfRule type="cellIs" dxfId="881" priority="197" operator="greaterThan">
      <formula>0.03</formula>
    </cfRule>
    <cfRule type="cellIs" dxfId="880" priority="198" stopIfTrue="1" operator="lessThan">
      <formula>-0.03</formula>
    </cfRule>
  </conditionalFormatting>
  <conditionalFormatting sqref="Z15">
    <cfRule type="cellIs" dxfId="879" priority="195" operator="greaterThan">
      <formula>0.03</formula>
    </cfRule>
    <cfRule type="cellIs" dxfId="878" priority="196" stopIfTrue="1" operator="lessThan">
      <formula>-0.03</formula>
    </cfRule>
  </conditionalFormatting>
  <conditionalFormatting sqref="AA15">
    <cfRule type="cellIs" dxfId="877" priority="193" operator="greaterThan">
      <formula>0.03</formula>
    </cfRule>
    <cfRule type="cellIs" dxfId="876" priority="194" stopIfTrue="1" operator="lessThan">
      <formula>-0.03</formula>
    </cfRule>
  </conditionalFormatting>
  <conditionalFormatting sqref="Y19">
    <cfRule type="cellIs" dxfId="875" priority="191" operator="greaterThan">
      <formula>0.03</formula>
    </cfRule>
    <cfRule type="cellIs" dxfId="874" priority="192" stopIfTrue="1" operator="lessThan">
      <formula>-0.03</formula>
    </cfRule>
  </conditionalFormatting>
  <conditionalFormatting sqref="Z19">
    <cfRule type="cellIs" dxfId="873" priority="189" operator="greaterThan">
      <formula>0.03</formula>
    </cfRule>
    <cfRule type="cellIs" dxfId="872" priority="190" stopIfTrue="1" operator="lessThan">
      <formula>-0.03</formula>
    </cfRule>
  </conditionalFormatting>
  <conditionalFormatting sqref="AA19">
    <cfRule type="cellIs" dxfId="871" priority="187" operator="greaterThan">
      <formula>0.03</formula>
    </cfRule>
    <cfRule type="cellIs" dxfId="870" priority="188" stopIfTrue="1" operator="lessThan">
      <formula>-0.03</formula>
    </cfRule>
  </conditionalFormatting>
  <conditionalFormatting sqref="Z23">
    <cfRule type="cellIs" dxfId="869" priority="183" operator="greaterThan">
      <formula>0.03</formula>
    </cfRule>
    <cfRule type="cellIs" dxfId="868" priority="184" stopIfTrue="1" operator="lessThan">
      <formula>-0.03</formula>
    </cfRule>
  </conditionalFormatting>
  <conditionalFormatting sqref="AA23">
    <cfRule type="cellIs" dxfId="867" priority="181" operator="greaterThan">
      <formula>0.03</formula>
    </cfRule>
    <cfRule type="cellIs" dxfId="866" priority="182" stopIfTrue="1" operator="lessThan">
      <formula>-0.03</formula>
    </cfRule>
  </conditionalFormatting>
  <conditionalFormatting sqref="Y26:Z26">
    <cfRule type="cellIs" dxfId="865" priority="175" operator="greaterThan">
      <formula>0.03</formula>
    </cfRule>
    <cfRule type="cellIs" dxfId="864" priority="176" stopIfTrue="1" operator="lessThan">
      <formula>-0.03</formula>
    </cfRule>
  </conditionalFormatting>
  <conditionalFormatting sqref="Y18:Z18">
    <cfRule type="cellIs" dxfId="863" priority="179" operator="greaterThan">
      <formula>0.03</formula>
    </cfRule>
    <cfRule type="cellIs" dxfId="862" priority="180" stopIfTrue="1" operator="lessThan">
      <formula>-0.03</formula>
    </cfRule>
  </conditionalFormatting>
  <conditionalFormatting sqref="Y22:Z22">
    <cfRule type="cellIs" dxfId="861" priority="177" operator="greaterThan">
      <formula>0.03</formula>
    </cfRule>
    <cfRule type="cellIs" dxfId="860" priority="178" stopIfTrue="1" operator="lessThan">
      <formula>-0.03</formula>
    </cfRule>
  </conditionalFormatting>
  <conditionalFormatting sqref="V27:X30">
    <cfRule type="cellIs" dxfId="859" priority="173" operator="greaterThan">
      <formula>0.03</formula>
    </cfRule>
    <cfRule type="cellIs" dxfId="858" priority="174" stopIfTrue="1" operator="lessThan">
      <formula>-0.03</formula>
    </cfRule>
  </conditionalFormatting>
  <conditionalFormatting sqref="Y27">
    <cfRule type="cellIs" dxfId="857" priority="171" operator="greaterThan">
      <formula>0.03</formula>
    </cfRule>
    <cfRule type="cellIs" dxfId="856" priority="172" stopIfTrue="1" operator="lessThan">
      <formula>-0.03</formula>
    </cfRule>
  </conditionalFormatting>
  <conditionalFormatting sqref="Z27">
    <cfRule type="cellIs" dxfId="855" priority="169" operator="greaterThan">
      <formula>0.03</formula>
    </cfRule>
    <cfRule type="cellIs" dxfId="854" priority="170" stopIfTrue="1" operator="lessThan">
      <formula>-0.03</formula>
    </cfRule>
  </conditionalFormatting>
  <conditionalFormatting sqref="AA27">
    <cfRule type="cellIs" dxfId="853" priority="167" operator="greaterThan">
      <formula>0.03</formula>
    </cfRule>
    <cfRule type="cellIs" dxfId="852" priority="168" stopIfTrue="1" operator="lessThan">
      <formula>-0.03</formula>
    </cfRule>
  </conditionalFormatting>
  <conditionalFormatting sqref="Y30:Z30">
    <cfRule type="cellIs" dxfId="851" priority="165" operator="greaterThan">
      <formula>0.03</formula>
    </cfRule>
    <cfRule type="cellIs" dxfId="850" priority="166" stopIfTrue="1" operator="lessThan">
      <formula>-0.03</formula>
    </cfRule>
  </conditionalFormatting>
  <conditionalFormatting sqref="Y35">
    <cfRule type="cellIs" dxfId="849" priority="155" operator="greaterThan">
      <formula>0.03</formula>
    </cfRule>
    <cfRule type="cellIs" dxfId="848" priority="156" stopIfTrue="1" operator="lessThan">
      <formula>-0.03</formula>
    </cfRule>
  </conditionalFormatting>
  <conditionalFormatting sqref="V31:X38">
    <cfRule type="cellIs" dxfId="847" priority="163" operator="greaterThan">
      <formula>0.03</formula>
    </cfRule>
    <cfRule type="cellIs" dxfId="846" priority="164" stopIfTrue="1" operator="lessThan">
      <formula>-0.03</formula>
    </cfRule>
  </conditionalFormatting>
  <conditionalFormatting sqref="Y31">
    <cfRule type="cellIs" dxfId="845" priority="161" operator="greaterThan">
      <formula>0.03</formula>
    </cfRule>
    <cfRule type="cellIs" dxfId="844" priority="162" stopIfTrue="1" operator="lessThan">
      <formula>-0.03</formula>
    </cfRule>
  </conditionalFormatting>
  <conditionalFormatting sqref="Z31">
    <cfRule type="cellIs" dxfId="843" priority="159" operator="greaterThan">
      <formula>0.03</formula>
    </cfRule>
    <cfRule type="cellIs" dxfId="842" priority="160" stopIfTrue="1" operator="lessThan">
      <formula>-0.03</formula>
    </cfRule>
  </conditionalFormatting>
  <conditionalFormatting sqref="AA31">
    <cfRule type="cellIs" dxfId="841" priority="157" operator="greaterThan">
      <formula>0.03</formula>
    </cfRule>
    <cfRule type="cellIs" dxfId="840" priority="158" stopIfTrue="1" operator="lessThan">
      <formula>-0.03</formula>
    </cfRule>
  </conditionalFormatting>
  <conditionalFormatting sqref="Z35">
    <cfRule type="cellIs" dxfId="839" priority="153" operator="greaterThan">
      <formula>0.03</formula>
    </cfRule>
    <cfRule type="cellIs" dxfId="838" priority="154" stopIfTrue="1" operator="lessThan">
      <formula>-0.03</formula>
    </cfRule>
  </conditionalFormatting>
  <conditionalFormatting sqref="AA35">
    <cfRule type="cellIs" dxfId="837" priority="151" operator="greaterThan">
      <formula>0.03</formula>
    </cfRule>
    <cfRule type="cellIs" dxfId="836" priority="152" stopIfTrue="1" operator="lessThan">
      <formula>-0.03</formula>
    </cfRule>
  </conditionalFormatting>
  <conditionalFormatting sqref="Y38:Z38">
    <cfRule type="cellIs" dxfId="835" priority="147" operator="greaterThan">
      <formula>0.03</formula>
    </cfRule>
    <cfRule type="cellIs" dxfId="834" priority="148" stopIfTrue="1" operator="lessThan">
      <formula>-0.03</formula>
    </cfRule>
  </conditionalFormatting>
  <conditionalFormatting sqref="Y34:Z34">
    <cfRule type="cellIs" dxfId="833" priority="149" operator="greaterThan">
      <formula>0.03</formula>
    </cfRule>
    <cfRule type="cellIs" dxfId="832" priority="150" stopIfTrue="1" operator="lessThan">
      <formula>-0.03</formula>
    </cfRule>
  </conditionalFormatting>
  <conditionalFormatting sqref="Y43">
    <cfRule type="cellIs" dxfId="831" priority="137" operator="greaterThan">
      <formula>0.03</formula>
    </cfRule>
    <cfRule type="cellIs" dxfId="830" priority="138" stopIfTrue="1" operator="lessThan">
      <formula>-0.03</formula>
    </cfRule>
  </conditionalFormatting>
  <conditionalFormatting sqref="V39:X46">
    <cfRule type="cellIs" dxfId="829" priority="145" operator="greaterThan">
      <formula>0.03</formula>
    </cfRule>
    <cfRule type="cellIs" dxfId="828" priority="146" stopIfTrue="1" operator="lessThan">
      <formula>-0.03</formula>
    </cfRule>
  </conditionalFormatting>
  <conditionalFormatting sqref="Y39">
    <cfRule type="cellIs" dxfId="827" priority="143" operator="greaterThan">
      <formula>0.03</formula>
    </cfRule>
    <cfRule type="cellIs" dxfId="826" priority="144" stopIfTrue="1" operator="lessThan">
      <formula>-0.03</formula>
    </cfRule>
  </conditionalFormatting>
  <conditionalFormatting sqref="Z39">
    <cfRule type="cellIs" dxfId="825" priority="141" operator="greaterThan">
      <formula>0.03</formula>
    </cfRule>
    <cfRule type="cellIs" dxfId="824" priority="142" stopIfTrue="1" operator="lessThan">
      <formula>-0.03</formula>
    </cfRule>
  </conditionalFormatting>
  <conditionalFormatting sqref="AA39">
    <cfRule type="cellIs" dxfId="823" priority="139" operator="greaterThan">
      <formula>0.03</formula>
    </cfRule>
    <cfRule type="cellIs" dxfId="822" priority="140" stopIfTrue="1" operator="lessThan">
      <formula>-0.03</formula>
    </cfRule>
  </conditionalFormatting>
  <conditionalFormatting sqref="Z43">
    <cfRule type="cellIs" dxfId="821" priority="135" operator="greaterThan">
      <formula>0.03</formula>
    </cfRule>
    <cfRule type="cellIs" dxfId="820" priority="136" stopIfTrue="1" operator="lessThan">
      <formula>-0.03</formula>
    </cfRule>
  </conditionalFormatting>
  <conditionalFormatting sqref="AA43">
    <cfRule type="cellIs" dxfId="819" priority="133" operator="greaterThan">
      <formula>0.03</formula>
    </cfRule>
    <cfRule type="cellIs" dxfId="818" priority="134" stopIfTrue="1" operator="lessThan">
      <formula>-0.03</formula>
    </cfRule>
  </conditionalFormatting>
  <conditionalFormatting sqref="Y46:Z46">
    <cfRule type="cellIs" dxfId="817" priority="129" operator="greaterThan">
      <formula>0.03</formula>
    </cfRule>
    <cfRule type="cellIs" dxfId="816" priority="130" stopIfTrue="1" operator="lessThan">
      <formula>-0.03</formula>
    </cfRule>
  </conditionalFormatting>
  <conditionalFormatting sqref="Y42:Z42">
    <cfRule type="cellIs" dxfId="815" priority="131" operator="greaterThan">
      <formula>0.03</formula>
    </cfRule>
    <cfRule type="cellIs" dxfId="814" priority="132" stopIfTrue="1" operator="lessThan">
      <formula>-0.03</formula>
    </cfRule>
  </conditionalFormatting>
  <conditionalFormatting sqref="Y55">
    <cfRule type="cellIs" dxfId="813" priority="113" operator="greaterThan">
      <formula>0.03</formula>
    </cfRule>
    <cfRule type="cellIs" dxfId="812" priority="114" stopIfTrue="1" operator="lessThan">
      <formula>-0.03</formula>
    </cfRule>
  </conditionalFormatting>
  <conditionalFormatting sqref="V47:X62">
    <cfRule type="cellIs" dxfId="811" priority="127" operator="greaterThan">
      <formula>0.03</formula>
    </cfRule>
    <cfRule type="cellIs" dxfId="810" priority="128" stopIfTrue="1" operator="lessThan">
      <formula>-0.03</formula>
    </cfRule>
  </conditionalFormatting>
  <conditionalFormatting sqref="Y47">
    <cfRule type="cellIs" dxfId="809" priority="125" operator="greaterThan">
      <formula>0.03</formula>
    </cfRule>
    <cfRule type="cellIs" dxfId="808" priority="126" stopIfTrue="1" operator="lessThan">
      <formula>-0.03</formula>
    </cfRule>
  </conditionalFormatting>
  <conditionalFormatting sqref="Z47">
    <cfRule type="cellIs" dxfId="807" priority="123" operator="greaterThan">
      <formula>0.03</formula>
    </cfRule>
    <cfRule type="cellIs" dxfId="806" priority="124" stopIfTrue="1" operator="lessThan">
      <formula>-0.03</formula>
    </cfRule>
  </conditionalFormatting>
  <conditionalFormatting sqref="AA47">
    <cfRule type="cellIs" dxfId="805" priority="121" operator="greaterThan">
      <formula>0.03</formula>
    </cfRule>
    <cfRule type="cellIs" dxfId="804" priority="122" stopIfTrue="1" operator="lessThan">
      <formula>-0.03</formula>
    </cfRule>
  </conditionalFormatting>
  <conditionalFormatting sqref="Y51">
    <cfRule type="cellIs" dxfId="803" priority="119" operator="greaterThan">
      <formula>0.03</formula>
    </cfRule>
    <cfRule type="cellIs" dxfId="802" priority="120" stopIfTrue="1" operator="lessThan">
      <formula>-0.03</formula>
    </cfRule>
  </conditionalFormatting>
  <conditionalFormatting sqref="Z51">
    <cfRule type="cellIs" dxfId="801" priority="117" operator="greaterThan">
      <formula>0.03</formula>
    </cfRule>
    <cfRule type="cellIs" dxfId="800" priority="118" stopIfTrue="1" operator="lessThan">
      <formula>-0.03</formula>
    </cfRule>
  </conditionalFormatting>
  <conditionalFormatting sqref="AA51">
    <cfRule type="cellIs" dxfId="799" priority="115" operator="greaterThan">
      <formula>0.03</formula>
    </cfRule>
    <cfRule type="cellIs" dxfId="798" priority="116" stopIfTrue="1" operator="lessThan">
      <formula>-0.03</formula>
    </cfRule>
  </conditionalFormatting>
  <conditionalFormatting sqref="Z55">
    <cfRule type="cellIs" dxfId="797" priority="111" operator="greaterThan">
      <formula>0.03</formula>
    </cfRule>
    <cfRule type="cellIs" dxfId="796" priority="112" stopIfTrue="1" operator="lessThan">
      <formula>-0.03</formula>
    </cfRule>
  </conditionalFormatting>
  <conditionalFormatting sqref="AA55">
    <cfRule type="cellIs" dxfId="795" priority="109" operator="greaterThan">
      <formula>0.03</formula>
    </cfRule>
    <cfRule type="cellIs" dxfId="794" priority="110" stopIfTrue="1" operator="lessThan">
      <formula>-0.03</formula>
    </cfRule>
  </conditionalFormatting>
  <conditionalFormatting sqref="Y59">
    <cfRule type="cellIs" dxfId="793" priority="107" operator="greaterThan">
      <formula>0.03</formula>
    </cfRule>
    <cfRule type="cellIs" dxfId="792" priority="108" stopIfTrue="1" operator="lessThan">
      <formula>-0.03</formula>
    </cfRule>
  </conditionalFormatting>
  <conditionalFormatting sqref="Z59">
    <cfRule type="cellIs" dxfId="791" priority="105" operator="greaterThan">
      <formula>0.03</formula>
    </cfRule>
    <cfRule type="cellIs" dxfId="790" priority="106" stopIfTrue="1" operator="lessThan">
      <formula>-0.03</formula>
    </cfRule>
  </conditionalFormatting>
  <conditionalFormatting sqref="AA59">
    <cfRule type="cellIs" dxfId="789" priority="103" operator="greaterThan">
      <formula>0.03</formula>
    </cfRule>
    <cfRule type="cellIs" dxfId="788" priority="104" stopIfTrue="1" operator="lessThan">
      <formula>-0.03</formula>
    </cfRule>
  </conditionalFormatting>
  <conditionalFormatting sqref="Y58:Z58">
    <cfRule type="cellIs" dxfId="787" priority="97" operator="greaterThan">
      <formula>0.03</formula>
    </cfRule>
    <cfRule type="cellIs" dxfId="786" priority="98" stopIfTrue="1" operator="lessThan">
      <formula>-0.03</formula>
    </cfRule>
  </conditionalFormatting>
  <conditionalFormatting sqref="Y50:Z50">
    <cfRule type="cellIs" dxfId="785" priority="101" operator="greaterThan">
      <formula>0.03</formula>
    </cfRule>
    <cfRule type="cellIs" dxfId="784" priority="102" stopIfTrue="1" operator="lessThan">
      <formula>-0.03</formula>
    </cfRule>
  </conditionalFormatting>
  <conditionalFormatting sqref="Y54:Z54">
    <cfRule type="cellIs" dxfId="783" priority="99" operator="greaterThan">
      <formula>0.03</formula>
    </cfRule>
    <cfRule type="cellIs" dxfId="782" priority="100" stopIfTrue="1" operator="lessThan">
      <formula>-0.03</formula>
    </cfRule>
  </conditionalFormatting>
  <conditionalFormatting sqref="Y62:Z62">
    <cfRule type="cellIs" dxfId="781" priority="95" operator="greaterThan">
      <formula>0.03</formula>
    </cfRule>
    <cfRule type="cellIs" dxfId="780" priority="96" stopIfTrue="1" operator="lessThan">
      <formula>-0.03</formula>
    </cfRule>
  </conditionalFormatting>
  <conditionalFormatting sqref="Y71">
    <cfRule type="cellIs" dxfId="779" priority="79" operator="greaterThan">
      <formula>0.03</formula>
    </cfRule>
    <cfRule type="cellIs" dxfId="778" priority="80" stopIfTrue="1" operator="lessThan">
      <formula>-0.03</formula>
    </cfRule>
  </conditionalFormatting>
  <conditionalFormatting sqref="V63:X78">
    <cfRule type="cellIs" dxfId="777" priority="93" operator="greaterThan">
      <formula>0.03</formula>
    </cfRule>
    <cfRule type="cellIs" dxfId="776" priority="94" stopIfTrue="1" operator="lessThan">
      <formula>-0.03</formula>
    </cfRule>
  </conditionalFormatting>
  <conditionalFormatting sqref="Y63">
    <cfRule type="cellIs" dxfId="775" priority="91" operator="greaterThan">
      <formula>0.03</formula>
    </cfRule>
    <cfRule type="cellIs" dxfId="774" priority="92" stopIfTrue="1" operator="lessThan">
      <formula>-0.03</formula>
    </cfRule>
  </conditionalFormatting>
  <conditionalFormatting sqref="Z63">
    <cfRule type="cellIs" dxfId="773" priority="89" operator="greaterThan">
      <formula>0.03</formula>
    </cfRule>
    <cfRule type="cellIs" dxfId="772" priority="90" stopIfTrue="1" operator="lessThan">
      <formula>-0.03</formula>
    </cfRule>
  </conditionalFormatting>
  <conditionalFormatting sqref="AA63">
    <cfRule type="cellIs" dxfId="771" priority="87" operator="greaterThan">
      <formula>0.03</formula>
    </cfRule>
    <cfRule type="cellIs" dxfId="770" priority="88" stopIfTrue="1" operator="lessThan">
      <formula>-0.03</formula>
    </cfRule>
  </conditionalFormatting>
  <conditionalFormatting sqref="Y67">
    <cfRule type="cellIs" dxfId="769" priority="85" operator="greaterThan">
      <formula>0.03</formula>
    </cfRule>
    <cfRule type="cellIs" dxfId="768" priority="86" stopIfTrue="1" operator="lessThan">
      <formula>-0.03</formula>
    </cfRule>
  </conditionalFormatting>
  <conditionalFormatting sqref="Z67">
    <cfRule type="cellIs" dxfId="767" priority="83" operator="greaterThan">
      <formula>0.03</formula>
    </cfRule>
    <cfRule type="cellIs" dxfId="766" priority="84" stopIfTrue="1" operator="lessThan">
      <formula>-0.03</formula>
    </cfRule>
  </conditionalFormatting>
  <conditionalFormatting sqref="AA67">
    <cfRule type="cellIs" dxfId="765" priority="81" operator="greaterThan">
      <formula>0.03</formula>
    </cfRule>
    <cfRule type="cellIs" dxfId="764" priority="82" stopIfTrue="1" operator="lessThan">
      <formula>-0.03</formula>
    </cfRule>
  </conditionalFormatting>
  <conditionalFormatting sqref="Z71">
    <cfRule type="cellIs" dxfId="763" priority="77" operator="greaterThan">
      <formula>0.03</formula>
    </cfRule>
    <cfRule type="cellIs" dxfId="762" priority="78" stopIfTrue="1" operator="lessThan">
      <formula>-0.03</formula>
    </cfRule>
  </conditionalFormatting>
  <conditionalFormatting sqref="AA71">
    <cfRule type="cellIs" dxfId="761" priority="75" operator="greaterThan">
      <formula>0.03</formula>
    </cfRule>
    <cfRule type="cellIs" dxfId="760" priority="76" stopIfTrue="1" operator="lessThan">
      <formula>-0.03</formula>
    </cfRule>
  </conditionalFormatting>
  <conditionalFormatting sqref="Y75">
    <cfRule type="cellIs" dxfId="759" priority="73" operator="greaterThan">
      <formula>0.03</formula>
    </cfRule>
    <cfRule type="cellIs" dxfId="758" priority="74" stopIfTrue="1" operator="lessThan">
      <formula>-0.03</formula>
    </cfRule>
  </conditionalFormatting>
  <conditionalFormatting sqref="Z75">
    <cfRule type="cellIs" dxfId="757" priority="71" operator="greaterThan">
      <formula>0.03</formula>
    </cfRule>
    <cfRule type="cellIs" dxfId="756" priority="72" stopIfTrue="1" operator="lessThan">
      <formula>-0.03</formula>
    </cfRule>
  </conditionalFormatting>
  <conditionalFormatting sqref="AA75">
    <cfRule type="cellIs" dxfId="755" priority="69" operator="greaterThan">
      <formula>0.03</formula>
    </cfRule>
    <cfRule type="cellIs" dxfId="754" priority="70" stopIfTrue="1" operator="lessThan">
      <formula>-0.03</formula>
    </cfRule>
  </conditionalFormatting>
  <conditionalFormatting sqref="Y74:Z74">
    <cfRule type="cellIs" dxfId="753" priority="63" operator="greaterThan">
      <formula>0.03</formula>
    </cfRule>
    <cfRule type="cellIs" dxfId="752" priority="64" stopIfTrue="1" operator="lessThan">
      <formula>-0.03</formula>
    </cfRule>
  </conditionalFormatting>
  <conditionalFormatting sqref="Y66:Z66">
    <cfRule type="cellIs" dxfId="751" priority="67" operator="greaterThan">
      <formula>0.03</formula>
    </cfRule>
    <cfRule type="cellIs" dxfId="750" priority="68" stopIfTrue="1" operator="lessThan">
      <formula>-0.03</formula>
    </cfRule>
  </conditionalFormatting>
  <conditionalFormatting sqref="Y70:Z70">
    <cfRule type="cellIs" dxfId="749" priority="65" operator="greaterThan">
      <formula>0.03</formula>
    </cfRule>
    <cfRule type="cellIs" dxfId="748" priority="66" stopIfTrue="1" operator="lessThan">
      <formula>-0.03</formula>
    </cfRule>
  </conditionalFormatting>
  <conditionalFormatting sqref="Y78:Z78">
    <cfRule type="cellIs" dxfId="747" priority="61" operator="greaterThan">
      <formula>0.03</formula>
    </cfRule>
    <cfRule type="cellIs" dxfId="746" priority="62" stopIfTrue="1" operator="lessThan">
      <formula>-0.03</formula>
    </cfRule>
  </conditionalFormatting>
  <conditionalFormatting sqref="Y99">
    <cfRule type="cellIs" dxfId="745" priority="45" operator="greaterThan">
      <formula>0.03</formula>
    </cfRule>
    <cfRule type="cellIs" dxfId="744" priority="46" stopIfTrue="1" operator="lessThan">
      <formula>-0.03</formula>
    </cfRule>
  </conditionalFormatting>
  <conditionalFormatting sqref="V91:X106">
    <cfRule type="cellIs" dxfId="743" priority="59" operator="greaterThan">
      <formula>0.03</formula>
    </cfRule>
    <cfRule type="cellIs" dxfId="742" priority="60" stopIfTrue="1" operator="lessThan">
      <formula>-0.03</formula>
    </cfRule>
  </conditionalFormatting>
  <conditionalFormatting sqref="Y91">
    <cfRule type="cellIs" dxfId="741" priority="57" operator="greaterThan">
      <formula>0.03</formula>
    </cfRule>
    <cfRule type="cellIs" dxfId="740" priority="58" stopIfTrue="1" operator="lessThan">
      <formula>-0.03</formula>
    </cfRule>
  </conditionalFormatting>
  <conditionalFormatting sqref="Z91">
    <cfRule type="cellIs" dxfId="739" priority="55" operator="greaterThan">
      <formula>0.03</formula>
    </cfRule>
    <cfRule type="cellIs" dxfId="738" priority="56" stopIfTrue="1" operator="lessThan">
      <formula>-0.03</formula>
    </cfRule>
  </conditionalFormatting>
  <conditionalFormatting sqref="AA91">
    <cfRule type="cellIs" dxfId="737" priority="53" operator="greaterThan">
      <formula>0.03</formula>
    </cfRule>
    <cfRule type="cellIs" dxfId="736" priority="54" stopIfTrue="1" operator="lessThan">
      <formula>-0.03</formula>
    </cfRule>
  </conditionalFormatting>
  <conditionalFormatting sqref="Y95">
    <cfRule type="cellIs" dxfId="735" priority="51" operator="greaterThan">
      <formula>0.03</formula>
    </cfRule>
    <cfRule type="cellIs" dxfId="734" priority="52" stopIfTrue="1" operator="lessThan">
      <formula>-0.03</formula>
    </cfRule>
  </conditionalFormatting>
  <conditionalFormatting sqref="Z95">
    <cfRule type="cellIs" dxfId="733" priority="49" operator="greaterThan">
      <formula>0.03</formula>
    </cfRule>
    <cfRule type="cellIs" dxfId="732" priority="50" stopIfTrue="1" operator="lessThan">
      <formula>-0.03</formula>
    </cfRule>
  </conditionalFormatting>
  <conditionalFormatting sqref="AA95">
    <cfRule type="cellIs" dxfId="731" priority="47" operator="greaterThan">
      <formula>0.03</formula>
    </cfRule>
    <cfRule type="cellIs" dxfId="730" priority="48" stopIfTrue="1" operator="lessThan">
      <formula>-0.03</formula>
    </cfRule>
  </conditionalFormatting>
  <conditionalFormatting sqref="Z99">
    <cfRule type="cellIs" dxfId="729" priority="43" operator="greaterThan">
      <formula>0.03</formula>
    </cfRule>
    <cfRule type="cellIs" dxfId="728" priority="44" stopIfTrue="1" operator="lessThan">
      <formula>-0.03</formula>
    </cfRule>
  </conditionalFormatting>
  <conditionalFormatting sqref="AA99">
    <cfRule type="cellIs" dxfId="727" priority="41" operator="greaterThan">
      <formula>0.03</formula>
    </cfRule>
    <cfRule type="cellIs" dxfId="726" priority="42" stopIfTrue="1" operator="lessThan">
      <formula>-0.03</formula>
    </cfRule>
  </conditionalFormatting>
  <conditionalFormatting sqref="Y102:Z102">
    <cfRule type="cellIs" dxfId="725" priority="29" operator="greaterThan">
      <formula>0.03</formula>
    </cfRule>
    <cfRule type="cellIs" dxfId="724" priority="30" stopIfTrue="1" operator="lessThan">
      <formula>-0.03</formula>
    </cfRule>
  </conditionalFormatting>
  <conditionalFormatting sqref="Y98:Z98">
    <cfRule type="cellIs" dxfId="723" priority="31" operator="greaterThan">
      <formula>0.03</formula>
    </cfRule>
    <cfRule type="cellIs" dxfId="722" priority="32" stopIfTrue="1" operator="lessThan">
      <formula>-0.03</formula>
    </cfRule>
  </conditionalFormatting>
  <conditionalFormatting sqref="Y106:Z106">
    <cfRule type="cellIs" dxfId="721" priority="27" operator="greaterThan">
      <formula>0.03</formula>
    </cfRule>
    <cfRule type="cellIs" dxfId="720" priority="2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120"/>
  <sheetViews>
    <sheetView tabSelected="1" workbookViewId="0">
      <selection activeCell="V119" sqref="V119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>
      <c r="D1" s="124" t="s">
        <v>12</v>
      </c>
      <c r="E1" s="125"/>
      <c r="F1" s="125"/>
      <c r="G1" s="125"/>
      <c r="H1" s="125"/>
      <c r="I1" s="125"/>
      <c r="J1" s="126"/>
      <c r="L1" s="124" t="s">
        <v>13</v>
      </c>
      <c r="M1" s="125"/>
      <c r="N1" s="125"/>
      <c r="O1" s="125"/>
      <c r="P1" s="125"/>
      <c r="Q1" s="125"/>
      <c r="R1" s="126"/>
      <c r="S1" s="37"/>
      <c r="T1" s="37"/>
      <c r="U1" s="2"/>
      <c r="V1" s="124" t="s">
        <v>24</v>
      </c>
      <c r="W1" s="125"/>
      <c r="X1" s="126"/>
      <c r="Y1" s="124" t="s">
        <v>25</v>
      </c>
      <c r="Z1" s="125"/>
      <c r="AA1" s="126"/>
    </row>
    <row r="2" spans="1:27" ht="12.75" thickBot="1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38</v>
      </c>
      <c r="T2" s="7" t="s">
        <v>39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>
      <c r="A3" s="11" t="s">
        <v>72</v>
      </c>
      <c r="B3" s="11" t="s">
        <v>416</v>
      </c>
      <c r="C3" s="11">
        <v>22</v>
      </c>
      <c r="D3" s="12">
        <v>33931.735500000003</v>
      </c>
      <c r="E3" s="13">
        <v>40.271000000000001</v>
      </c>
      <c r="F3" s="13">
        <v>48.946199999999997</v>
      </c>
      <c r="G3" s="13">
        <v>47.110300000000002</v>
      </c>
      <c r="H3" s="13">
        <v>263863.73800000001</v>
      </c>
      <c r="I3" s="13">
        <v>125.694</v>
      </c>
      <c r="J3" s="14">
        <f>H3/3600</f>
        <v>73.295482777777778</v>
      </c>
      <c r="L3" s="12">
        <v>34511.373099999997</v>
      </c>
      <c r="M3" s="13">
        <v>40.289900000000003</v>
      </c>
      <c r="N3" s="13">
        <v>48.949399999999997</v>
      </c>
      <c r="O3" s="13">
        <v>47.113100000000003</v>
      </c>
      <c r="P3" s="13">
        <v>363230.41200000001</v>
      </c>
      <c r="Q3" s="13">
        <v>136.97200000000001</v>
      </c>
      <c r="R3" s="14">
        <f>P3/3600</f>
        <v>100.89733666666667</v>
      </c>
      <c r="S3" s="13">
        <f>P3/H3</f>
        <v>1.3765832878483666</v>
      </c>
      <c r="T3" s="13">
        <f>Q3/I3</f>
        <v>1.0897258421245246</v>
      </c>
      <c r="U3" s="58"/>
      <c r="V3" s="41">
        <f>bdrate($D3:$D6,E3:E6,$L3:$L6,M3:M6)</f>
        <v>-8.4617528046907475E-3</v>
      </c>
      <c r="W3" s="46">
        <f>bdrate($D3:$D6,F3:F6,$L3:$L6,N3:N6)</f>
        <v>4.9603401300002403E-5</v>
      </c>
      <c r="X3" s="47">
        <f>bdrate($D3:$D6,G3:G6,$L3:$L6,O3:O6)</f>
        <v>5.9883357441645746E-3</v>
      </c>
      <c r="Y3" s="41">
        <f>bdrateOld($D3:$D6,E3:E6,$L3:$L6,M3:M6)</f>
        <v>-1.0038825325065615E-2</v>
      </c>
      <c r="Z3" s="46">
        <f>bdrateOld($D3:$D6,F3:F6,$L3:$L6,N3:N6)</f>
        <v>-2.6204275186791914E-4</v>
      </c>
      <c r="AA3" s="47">
        <f>bdrateOld($D3:$D6,G3:G6,$L3:$L6,O3:O6)</f>
        <v>5.8770928170186476E-3</v>
      </c>
    </row>
    <row r="4" spans="1:27">
      <c r="A4" s="16" t="s">
        <v>46</v>
      </c>
      <c r="B4" s="16"/>
      <c r="C4" s="16">
        <v>27</v>
      </c>
      <c r="D4" s="17">
        <v>9212.3101999999999</v>
      </c>
      <c r="E4" s="18">
        <v>39.5336</v>
      </c>
      <c r="F4" s="18">
        <v>48.122999999999998</v>
      </c>
      <c r="G4" s="18">
        <v>45.898200000000003</v>
      </c>
      <c r="H4" s="18">
        <v>164356.16200000001</v>
      </c>
      <c r="I4" s="18">
        <v>89.811999999999998</v>
      </c>
      <c r="J4" s="19">
        <f t="shared" ref="J4:J59" si="0">H4/3600</f>
        <v>45.654489444444451</v>
      </c>
      <c r="L4" s="17">
        <v>9292.1257000000005</v>
      </c>
      <c r="M4" s="18">
        <v>39.543399999999998</v>
      </c>
      <c r="N4" s="18">
        <v>48.129199999999997</v>
      </c>
      <c r="O4" s="18">
        <v>45.893500000000003</v>
      </c>
      <c r="P4" s="18">
        <v>206557.06099999999</v>
      </c>
      <c r="Q4" s="18">
        <v>90.096000000000004</v>
      </c>
      <c r="R4" s="19">
        <f t="shared" ref="R4:R59" si="1">P4/3600</f>
        <v>57.376961388888887</v>
      </c>
      <c r="S4" s="18">
        <f t="shared" ref="S4:T46" si="2">P4/H4</f>
        <v>1.2567649334620017</v>
      </c>
      <c r="T4" s="18">
        <f t="shared" si="2"/>
        <v>1.0031621609584467</v>
      </c>
      <c r="U4" s="59"/>
      <c r="V4" s="42"/>
      <c r="W4" s="25"/>
      <c r="X4" s="54"/>
      <c r="Y4" s="42"/>
      <c r="Z4" s="25"/>
      <c r="AA4" s="54"/>
    </row>
    <row r="5" spans="1:27">
      <c r="A5" s="16"/>
      <c r="B5" s="16"/>
      <c r="C5" s="16">
        <v>32</v>
      </c>
      <c r="D5" s="17">
        <v>4539.1868999999997</v>
      </c>
      <c r="E5" s="18">
        <v>38.622</v>
      </c>
      <c r="F5" s="18">
        <v>47.089199999999998</v>
      </c>
      <c r="G5" s="18">
        <v>44.553600000000003</v>
      </c>
      <c r="H5" s="18">
        <v>124593.861</v>
      </c>
      <c r="I5" s="18">
        <v>75.944000000000003</v>
      </c>
      <c r="J5" s="19">
        <f t="shared" si="0"/>
        <v>34.609405833333334</v>
      </c>
      <c r="L5" s="17">
        <v>4538.6400000000003</v>
      </c>
      <c r="M5" s="18">
        <v>38.636499999999998</v>
      </c>
      <c r="N5" s="18">
        <v>47.091700000000003</v>
      </c>
      <c r="O5" s="18">
        <v>44.552199999999999</v>
      </c>
      <c r="P5" s="18">
        <v>151300.39199999999</v>
      </c>
      <c r="Q5" s="18">
        <v>93.614999999999995</v>
      </c>
      <c r="R5" s="19">
        <f t="shared" si="1"/>
        <v>42.027886666666667</v>
      </c>
      <c r="S5" s="18">
        <f t="shared" si="2"/>
        <v>1.2143486909037997</v>
      </c>
      <c r="T5" s="18">
        <f t="shared" si="2"/>
        <v>1.2326846097124196</v>
      </c>
      <c r="U5" s="59"/>
      <c r="V5" s="42"/>
      <c r="W5" s="25"/>
      <c r="X5" s="54"/>
      <c r="Y5" s="42"/>
      <c r="Z5" s="25"/>
      <c r="AA5" s="54"/>
    </row>
    <row r="6" spans="1:27" ht="12.75" thickBot="1">
      <c r="A6" s="16"/>
      <c r="B6" s="21"/>
      <c r="C6" s="21">
        <v>37</v>
      </c>
      <c r="D6" s="22">
        <v>2510.9061000000002</v>
      </c>
      <c r="E6" s="23">
        <v>37.225099999999998</v>
      </c>
      <c r="F6" s="23">
        <v>46.015999999999998</v>
      </c>
      <c r="G6" s="23">
        <v>43.2211</v>
      </c>
      <c r="H6" s="23">
        <v>90869.78</v>
      </c>
      <c r="I6" s="23">
        <v>91.096000000000004</v>
      </c>
      <c r="J6" s="24">
        <f t="shared" si="0"/>
        <v>25.241605555555555</v>
      </c>
      <c r="L6" s="22">
        <v>2506.2465000000002</v>
      </c>
      <c r="M6" s="23">
        <v>37.240400000000001</v>
      </c>
      <c r="N6" s="23">
        <v>46.0274</v>
      </c>
      <c r="O6" s="23">
        <v>43.2196</v>
      </c>
      <c r="P6" s="23">
        <v>111757.213</v>
      </c>
      <c r="Q6" s="23">
        <v>102.246</v>
      </c>
      <c r="R6" s="24">
        <f t="shared" si="1"/>
        <v>31.043670277777778</v>
      </c>
      <c r="S6" s="18">
        <f t="shared" si="2"/>
        <v>1.2298611595626181</v>
      </c>
      <c r="T6" s="18">
        <f t="shared" si="2"/>
        <v>1.1223983489944673</v>
      </c>
      <c r="U6" s="59"/>
      <c r="V6" s="43"/>
      <c r="W6" s="55"/>
      <c r="X6" s="56"/>
      <c r="Y6" s="43"/>
      <c r="Z6" s="55"/>
      <c r="AA6" s="56"/>
    </row>
    <row r="7" spans="1:27">
      <c r="A7" s="16"/>
      <c r="B7" s="11" t="s">
        <v>417</v>
      </c>
      <c r="C7" s="11">
        <v>22</v>
      </c>
      <c r="D7" s="12">
        <v>21523.091199999999</v>
      </c>
      <c r="E7" s="13">
        <v>44.047800000000002</v>
      </c>
      <c r="F7" s="13">
        <v>49.029800000000002</v>
      </c>
      <c r="G7" s="13">
        <v>49.585999999999999</v>
      </c>
      <c r="H7" s="13">
        <v>219134.375</v>
      </c>
      <c r="I7" s="13">
        <v>109.36199999999999</v>
      </c>
      <c r="J7" s="14">
        <f t="shared" si="0"/>
        <v>60.870659722222221</v>
      </c>
      <c r="L7" s="12">
        <v>21696.515200000002</v>
      </c>
      <c r="M7" s="13">
        <v>44.076700000000002</v>
      </c>
      <c r="N7" s="13">
        <v>49.027299999999997</v>
      </c>
      <c r="O7" s="13">
        <v>49.585599999999999</v>
      </c>
      <c r="P7" s="13">
        <v>293778.27399999998</v>
      </c>
      <c r="Q7" s="13">
        <v>121.79600000000001</v>
      </c>
      <c r="R7" s="14">
        <f t="shared" si="1"/>
        <v>81.605076111111103</v>
      </c>
      <c r="S7" s="18">
        <f t="shared" si="2"/>
        <v>1.3406307157423383</v>
      </c>
      <c r="T7" s="18">
        <f t="shared" si="2"/>
        <v>1.1136957992721421</v>
      </c>
      <c r="U7" s="59"/>
      <c r="V7" s="41">
        <f>bdrate($D7:$D10,E7:E10,$L7:$L10,M7:M10)</f>
        <v>-1.4889275689141335E-2</v>
      </c>
      <c r="W7" s="46">
        <f>bdrate($D7:$D10,F7:F10,$L7:$L10,N7:N10)</f>
        <v>-7.6235472654695435E-4</v>
      </c>
      <c r="X7" s="46">
        <f>bdrate($D7:$D10,G7:G10,$L7:$L10,O7:O10)</f>
        <v>-3.6991235225235508E-3</v>
      </c>
      <c r="Y7" s="44">
        <f>bdrateOld($D7:$D10,E7:E10,$L7:$L10,M7:M10)</f>
        <v>-1.4738822311158528E-2</v>
      </c>
      <c r="Z7" s="48">
        <f>bdrateOld($D7:$D10,F7:F10,$L7:$L10,N7:N10)</f>
        <v>-8.5722203099514171E-4</v>
      </c>
      <c r="AA7" s="49">
        <f>bdrateOld($D7:$D10,G7:G10,$L7:$L10,O7:O10)</f>
        <v>-3.5870910546396129E-3</v>
      </c>
    </row>
    <row r="8" spans="1:27">
      <c r="A8" s="16"/>
      <c r="B8" s="16"/>
      <c r="C8" s="16">
        <v>27</v>
      </c>
      <c r="D8" s="17">
        <v>9848.2415999999994</v>
      </c>
      <c r="E8" s="18">
        <v>42.595599999999997</v>
      </c>
      <c r="F8" s="18">
        <v>47.373600000000003</v>
      </c>
      <c r="G8" s="18">
        <v>47.729399999999998</v>
      </c>
      <c r="H8" s="18">
        <v>158067.19699999999</v>
      </c>
      <c r="I8" s="18">
        <v>89.61</v>
      </c>
      <c r="J8" s="19">
        <f t="shared" si="0"/>
        <v>43.907554722222216</v>
      </c>
      <c r="L8" s="17">
        <v>9836.7008000000005</v>
      </c>
      <c r="M8" s="18">
        <v>42.627699999999997</v>
      </c>
      <c r="N8" s="18">
        <v>47.367199999999997</v>
      </c>
      <c r="O8" s="18">
        <v>47.732399999999998</v>
      </c>
      <c r="P8" s="18">
        <v>203643.848</v>
      </c>
      <c r="Q8" s="18">
        <v>94.619</v>
      </c>
      <c r="R8" s="19">
        <f t="shared" si="1"/>
        <v>56.567735555555558</v>
      </c>
      <c r="S8" s="18">
        <f t="shared" si="2"/>
        <v>1.2883371873798712</v>
      </c>
      <c r="T8" s="18">
        <f t="shared" si="2"/>
        <v>1.0558977792657069</v>
      </c>
      <c r="U8" s="59"/>
      <c r="V8" s="42"/>
      <c r="W8" s="25"/>
      <c r="X8" s="25"/>
      <c r="Y8" s="42"/>
      <c r="Z8" s="25"/>
      <c r="AA8" s="54"/>
    </row>
    <row r="9" spans="1:27">
      <c r="A9" s="16"/>
      <c r="B9" s="16"/>
      <c r="C9" s="16">
        <v>32</v>
      </c>
      <c r="D9" s="17">
        <v>5282.9279999999999</v>
      </c>
      <c r="E9" s="18">
        <v>40.7059</v>
      </c>
      <c r="F9" s="18">
        <v>45.673400000000001</v>
      </c>
      <c r="G9" s="18">
        <v>45.928600000000003</v>
      </c>
      <c r="H9" s="18">
        <v>122838.33100000001</v>
      </c>
      <c r="I9" s="18">
        <v>78.204999999999998</v>
      </c>
      <c r="J9" s="19">
        <f t="shared" si="0"/>
        <v>34.121758611111112</v>
      </c>
      <c r="L9" s="17">
        <v>5261.3552</v>
      </c>
      <c r="M9" s="18">
        <v>40.746400000000001</v>
      </c>
      <c r="N9" s="18">
        <v>45.672699999999999</v>
      </c>
      <c r="O9" s="18">
        <v>45.942799999999998</v>
      </c>
      <c r="P9" s="18">
        <v>158124.07399999999</v>
      </c>
      <c r="Q9" s="18">
        <v>83.590999999999994</v>
      </c>
      <c r="R9" s="19">
        <f t="shared" si="1"/>
        <v>43.92335388888889</v>
      </c>
      <c r="S9" s="18">
        <f t="shared" si="2"/>
        <v>1.2872535202387274</v>
      </c>
      <c r="T9" s="18">
        <f t="shared" si="2"/>
        <v>1.0688702768365193</v>
      </c>
      <c r="U9" s="59"/>
      <c r="V9" s="42"/>
      <c r="W9" s="25"/>
      <c r="X9" s="25"/>
      <c r="Y9" s="42"/>
      <c r="Z9" s="25"/>
      <c r="AA9" s="54"/>
    </row>
    <row r="10" spans="1:27" ht="12.75" thickBot="1">
      <c r="A10" s="16"/>
      <c r="B10" s="21"/>
      <c r="C10" s="21">
        <v>37</v>
      </c>
      <c r="D10" s="22">
        <v>2868.7872000000002</v>
      </c>
      <c r="E10" s="23">
        <v>38.385800000000003</v>
      </c>
      <c r="F10" s="23">
        <v>44.171100000000003</v>
      </c>
      <c r="G10" s="23">
        <v>44.338700000000003</v>
      </c>
      <c r="H10" s="23">
        <v>90163.282999999996</v>
      </c>
      <c r="I10" s="23">
        <v>76.864000000000004</v>
      </c>
      <c r="J10" s="24">
        <f t="shared" si="0"/>
        <v>25.045356388888887</v>
      </c>
      <c r="L10" s="22">
        <v>2852.8512000000001</v>
      </c>
      <c r="M10" s="23">
        <v>38.4255</v>
      </c>
      <c r="N10" s="23">
        <v>44.181699999999999</v>
      </c>
      <c r="O10" s="23">
        <v>44.338500000000003</v>
      </c>
      <c r="P10" s="23">
        <v>113923.905</v>
      </c>
      <c r="Q10" s="23">
        <v>90.295000000000002</v>
      </c>
      <c r="R10" s="24">
        <f t="shared" si="1"/>
        <v>31.645529166666666</v>
      </c>
      <c r="S10" s="18">
        <f t="shared" si="2"/>
        <v>1.2635288025170957</v>
      </c>
      <c r="T10" s="18">
        <f t="shared" si="2"/>
        <v>1.1747371981681931</v>
      </c>
      <c r="U10" s="59"/>
      <c r="V10" s="43"/>
      <c r="W10" s="55"/>
      <c r="X10" s="55"/>
      <c r="Y10" s="43"/>
      <c r="Z10" s="55"/>
      <c r="AA10" s="56"/>
    </row>
    <row r="11" spans="1:27">
      <c r="A11" s="35"/>
      <c r="B11" s="34" t="s">
        <v>503</v>
      </c>
      <c r="C11" s="34">
        <v>22</v>
      </c>
      <c r="D11" s="12">
        <v>65237.159200000002</v>
      </c>
      <c r="E11" s="13">
        <v>39.303699999999999</v>
      </c>
      <c r="F11" s="13">
        <v>41.506300000000003</v>
      </c>
      <c r="G11" s="13">
        <v>42.197200000000002</v>
      </c>
      <c r="H11" s="13">
        <v>313936.12300000002</v>
      </c>
      <c r="I11" s="13">
        <v>209.69499999999999</v>
      </c>
      <c r="J11" s="14">
        <f t="shared" si="0"/>
        <v>87.204478611111114</v>
      </c>
      <c r="L11" s="12">
        <v>65774.478400000007</v>
      </c>
      <c r="M11" s="13">
        <v>39.343499999999999</v>
      </c>
      <c r="N11" s="13">
        <v>41.511099999999999</v>
      </c>
      <c r="O11" s="13">
        <v>42.203200000000002</v>
      </c>
      <c r="P11" s="13">
        <v>445559.24900000001</v>
      </c>
      <c r="Q11" s="13">
        <v>202.96899999999999</v>
      </c>
      <c r="R11" s="14">
        <f t="shared" si="1"/>
        <v>123.76645805555556</v>
      </c>
      <c r="S11" s="18">
        <f t="shared" si="2"/>
        <v>1.4192672214404585</v>
      </c>
      <c r="T11" s="18">
        <f t="shared" si="2"/>
        <v>0.96792484322468342</v>
      </c>
      <c r="U11" s="59"/>
      <c r="V11" s="41">
        <f>bdrate($D11:$D14,E11:E14,$L11:$L14,M11:M14)</f>
        <v>-7.9441712057543024E-3</v>
      </c>
      <c r="W11" s="46">
        <f>bdrate($D11:$D14,F11:F14,$L11:$L14,N11:N14)</f>
        <v>2.6702990043090402E-3</v>
      </c>
      <c r="X11" s="46">
        <f>bdrate($D11:$D14,G11:G14,$L11:$L14,O11:O14)</f>
        <v>1.5983850847280934E-3</v>
      </c>
      <c r="Y11" s="44">
        <f>bdrateOld($D11:$D14,E11:E14,$L11:$L14,M11:M14)</f>
        <v>-7.3169208334549207E-3</v>
      </c>
      <c r="Z11" s="48">
        <f>bdrateOld($D11:$D14,F11:F14,$L11:$L14,N11:N14)</f>
        <v>2.7452288107465694E-3</v>
      </c>
      <c r="AA11" s="49">
        <f>bdrateOld($D11:$D14,G11:G14,$L11:$L14,O11:O14)</f>
        <v>1.511133930033548E-3</v>
      </c>
    </row>
    <row r="12" spans="1:27">
      <c r="A12" s="35"/>
      <c r="B12" s="35"/>
      <c r="C12" s="35">
        <v>27</v>
      </c>
      <c r="D12" s="17">
        <v>19913.0216</v>
      </c>
      <c r="E12" s="18">
        <v>37.413699999999999</v>
      </c>
      <c r="F12" s="18">
        <v>38.3611</v>
      </c>
      <c r="G12" s="18">
        <v>40.668700000000001</v>
      </c>
      <c r="H12" s="18">
        <v>219870.878</v>
      </c>
      <c r="I12" s="18">
        <v>133.25700000000001</v>
      </c>
      <c r="J12" s="19">
        <f t="shared" si="0"/>
        <v>61.075243888888885</v>
      </c>
      <c r="L12" s="17">
        <v>19975.164799999999</v>
      </c>
      <c r="M12" s="18">
        <v>37.427799999999998</v>
      </c>
      <c r="N12" s="18">
        <v>38.362499999999997</v>
      </c>
      <c r="O12" s="18">
        <v>40.670299999999997</v>
      </c>
      <c r="P12" s="18">
        <v>300934.83199999999</v>
      </c>
      <c r="Q12" s="18">
        <v>133.494</v>
      </c>
      <c r="R12" s="19">
        <f t="shared" si="1"/>
        <v>83.593008888888889</v>
      </c>
      <c r="S12" s="18">
        <f t="shared" si="2"/>
        <v>1.3686889084055962</v>
      </c>
      <c r="T12" s="18">
        <f t="shared" si="2"/>
        <v>1.0017785182016705</v>
      </c>
      <c r="U12" s="59"/>
      <c r="V12" s="42"/>
      <c r="W12" s="25"/>
      <c r="X12" s="25"/>
      <c r="Y12" s="42"/>
      <c r="Z12" s="25"/>
      <c r="AA12" s="54"/>
    </row>
    <row r="13" spans="1:27">
      <c r="A13" s="35"/>
      <c r="B13" s="35"/>
      <c r="C13" s="35">
        <v>32</v>
      </c>
      <c r="D13" s="17">
        <v>10087.707200000001</v>
      </c>
      <c r="E13" s="18">
        <v>36.3003</v>
      </c>
      <c r="F13" s="18">
        <v>36.634399999999999</v>
      </c>
      <c r="G13" s="18">
        <v>39.459400000000002</v>
      </c>
      <c r="H13" s="18">
        <v>179411.014</v>
      </c>
      <c r="I13" s="18">
        <v>110.721</v>
      </c>
      <c r="J13" s="19">
        <f t="shared" si="0"/>
        <v>49.836392777777775</v>
      </c>
      <c r="L13" s="17">
        <v>10104.563200000001</v>
      </c>
      <c r="M13" s="18">
        <v>36.316899999999997</v>
      </c>
      <c r="N13" s="18">
        <v>36.636499999999998</v>
      </c>
      <c r="O13" s="18">
        <v>39.458399999999997</v>
      </c>
      <c r="P13" s="18">
        <v>236517.43900000001</v>
      </c>
      <c r="Q13" s="18">
        <v>98.141000000000005</v>
      </c>
      <c r="R13" s="19">
        <f t="shared" si="1"/>
        <v>65.699288611111115</v>
      </c>
      <c r="S13" s="18">
        <f t="shared" si="2"/>
        <v>1.3182994384057158</v>
      </c>
      <c r="T13" s="18">
        <f t="shared" si="2"/>
        <v>0.88638108398587445</v>
      </c>
      <c r="U13" s="59"/>
      <c r="V13" s="42"/>
      <c r="W13" s="25"/>
      <c r="X13" s="25"/>
      <c r="Y13" s="42"/>
      <c r="Z13" s="25"/>
      <c r="AA13" s="54"/>
    </row>
    <row r="14" spans="1:27" ht="12.75" thickBot="1">
      <c r="A14" s="35"/>
      <c r="B14" s="36"/>
      <c r="C14" s="36">
        <v>37</v>
      </c>
      <c r="D14" s="22">
        <v>5476.9920000000002</v>
      </c>
      <c r="E14" s="23">
        <v>34.902999999999999</v>
      </c>
      <c r="F14" s="23">
        <v>34.659199999999998</v>
      </c>
      <c r="G14" s="23">
        <v>38.104399999999998</v>
      </c>
      <c r="H14" s="23">
        <v>143310.622</v>
      </c>
      <c r="I14" s="23">
        <v>87.239000000000004</v>
      </c>
      <c r="J14" s="24">
        <f t="shared" si="0"/>
        <v>39.808506111111114</v>
      </c>
      <c r="L14" s="22">
        <v>5482.1319999999996</v>
      </c>
      <c r="M14" s="23">
        <v>34.9236</v>
      </c>
      <c r="N14" s="23">
        <v>34.659399999999998</v>
      </c>
      <c r="O14" s="23">
        <v>38.113799999999998</v>
      </c>
      <c r="P14" s="23">
        <v>189376.32500000001</v>
      </c>
      <c r="Q14" s="23">
        <v>89.522999999999996</v>
      </c>
      <c r="R14" s="24">
        <f t="shared" si="1"/>
        <v>52.604534722222226</v>
      </c>
      <c r="S14" s="18">
        <f t="shared" si="2"/>
        <v>1.321439558053136</v>
      </c>
      <c r="T14" s="18">
        <f t="shared" si="2"/>
        <v>1.0261809511800914</v>
      </c>
      <c r="U14" s="59"/>
      <c r="V14" s="43"/>
      <c r="W14" s="55"/>
      <c r="X14" s="55"/>
      <c r="Y14" s="43"/>
      <c r="Z14" s="55"/>
      <c r="AA14" s="56"/>
    </row>
    <row r="15" spans="1:27">
      <c r="A15" s="11" t="s">
        <v>73</v>
      </c>
      <c r="B15" s="11" t="s">
        <v>418</v>
      </c>
      <c r="C15" s="11">
        <v>22</v>
      </c>
      <c r="D15" s="12">
        <v>42622.048000000003</v>
      </c>
      <c r="E15" s="13">
        <v>40.266599999999997</v>
      </c>
      <c r="F15" s="13">
        <v>41.849400000000003</v>
      </c>
      <c r="G15" s="13">
        <v>43.507300000000001</v>
      </c>
      <c r="H15" s="13">
        <v>179199.49400000001</v>
      </c>
      <c r="I15" s="13">
        <v>142.11099999999999</v>
      </c>
      <c r="J15" s="14">
        <f t="shared" si="0"/>
        <v>49.777637222222225</v>
      </c>
      <c r="L15" s="12">
        <v>42976.144</v>
      </c>
      <c r="M15" s="13">
        <v>40.2866</v>
      </c>
      <c r="N15" s="13">
        <v>41.849200000000003</v>
      </c>
      <c r="O15" s="13">
        <v>43.510100000000001</v>
      </c>
      <c r="P15" s="13">
        <v>260401.16</v>
      </c>
      <c r="Q15" s="13">
        <v>142.62200000000001</v>
      </c>
      <c r="R15" s="14">
        <f t="shared" si="1"/>
        <v>72.333655555555552</v>
      </c>
      <c r="S15" s="13">
        <f>P15/H15</f>
        <v>1.4531355763761253</v>
      </c>
      <c r="T15" s="13">
        <f>Q15/I15</f>
        <v>1.003595780762925</v>
      </c>
      <c r="U15" s="58"/>
      <c r="V15" s="41">
        <f>bdrate($D15:$D18,E15:E18,$L15:$L18,M15:M18)</f>
        <v>-1.4682153922980112E-2</v>
      </c>
      <c r="W15" s="46">
        <f>bdrate($D15:$D18,F15:F18,$L15:$L18,N15:N18)</f>
        <v>-2.4597114489480765E-3</v>
      </c>
      <c r="X15" s="47">
        <f>bdrate($D15:$D18,G15:G18,$L15:$L18,O15:O18)</f>
        <v>-3.5056070421337626E-3</v>
      </c>
      <c r="Y15" s="41">
        <f>bdrateOld($D15:$D18,E15:E18,$L15:$L18,M15:M18)</f>
        <v>-1.4529697790957252E-2</v>
      </c>
      <c r="Z15" s="46">
        <f>bdrateOld($D15:$D18,F15:F18,$L15:$L18,N15:N18)</f>
        <v>-2.4636724664277576E-3</v>
      </c>
      <c r="AA15" s="47">
        <f>bdrateOld($D15:$D18,G15:G18,$L15:$L18,O15:O18)</f>
        <v>-3.3949186857741287E-3</v>
      </c>
    </row>
    <row r="16" spans="1:27">
      <c r="A16" s="16" t="s">
        <v>46</v>
      </c>
      <c r="B16" s="16"/>
      <c r="C16" s="16">
        <v>27</v>
      </c>
      <c r="D16" s="17">
        <v>12262.4064</v>
      </c>
      <c r="E16" s="18">
        <v>39.304699999999997</v>
      </c>
      <c r="F16" s="18">
        <v>41.324800000000003</v>
      </c>
      <c r="G16" s="18">
        <v>42.438800000000001</v>
      </c>
      <c r="H16" s="18">
        <v>119041.287</v>
      </c>
      <c r="I16" s="18">
        <v>118.822</v>
      </c>
      <c r="J16" s="19">
        <f t="shared" si="0"/>
        <v>33.067024166666663</v>
      </c>
      <c r="L16" s="17">
        <v>12278.8464</v>
      </c>
      <c r="M16" s="18">
        <v>39.322899999999997</v>
      </c>
      <c r="N16" s="18">
        <v>41.327599999999997</v>
      </c>
      <c r="O16" s="18">
        <v>42.446399999999997</v>
      </c>
      <c r="P16" s="18">
        <v>163271.42300000001</v>
      </c>
      <c r="Q16" s="18">
        <v>90.433000000000007</v>
      </c>
      <c r="R16" s="19">
        <f t="shared" si="1"/>
        <v>45.353173055555558</v>
      </c>
      <c r="S16" s="18">
        <f t="shared" ref="S16:S26" si="3">P16/H16</f>
        <v>1.3715529050017747</v>
      </c>
      <c r="T16" s="18">
        <f t="shared" ref="T16:T26" si="4">Q16/I16</f>
        <v>0.76107959805423242</v>
      </c>
      <c r="U16" s="59"/>
      <c r="V16" s="42"/>
      <c r="W16" s="25"/>
      <c r="X16" s="54"/>
      <c r="Y16" s="42"/>
      <c r="Z16" s="25"/>
      <c r="AA16" s="54"/>
    </row>
    <row r="17" spans="1:27">
      <c r="A17" s="16"/>
      <c r="B17" s="16"/>
      <c r="C17" s="16">
        <v>32</v>
      </c>
      <c r="D17" s="17">
        <v>6069.4384</v>
      </c>
      <c r="E17" s="18">
        <v>38.018999999999998</v>
      </c>
      <c r="F17" s="18">
        <v>40.636600000000001</v>
      </c>
      <c r="G17" s="18">
        <v>41.125999999999998</v>
      </c>
      <c r="H17" s="18">
        <v>91448.929000000004</v>
      </c>
      <c r="I17" s="18">
        <v>83.638000000000005</v>
      </c>
      <c r="J17" s="19">
        <f t="shared" si="0"/>
        <v>25.40248027777778</v>
      </c>
      <c r="L17" s="17">
        <v>6054.1679999999997</v>
      </c>
      <c r="M17" s="18">
        <v>38.045999999999999</v>
      </c>
      <c r="N17" s="18">
        <v>40.637</v>
      </c>
      <c r="O17" s="18">
        <v>41.128900000000002</v>
      </c>
      <c r="P17" s="18">
        <v>117937.326</v>
      </c>
      <c r="Q17" s="18">
        <v>76.015000000000001</v>
      </c>
      <c r="R17" s="19">
        <f t="shared" si="1"/>
        <v>32.760368333333332</v>
      </c>
      <c r="S17" s="18">
        <f t="shared" si="3"/>
        <v>1.2896523479241622</v>
      </c>
      <c r="T17" s="18">
        <f t="shared" si="4"/>
        <v>0.90885721801095187</v>
      </c>
      <c r="U17" s="59"/>
      <c r="V17" s="42"/>
      <c r="W17" s="25"/>
      <c r="X17" s="54"/>
      <c r="Y17" s="42"/>
      <c r="Z17" s="25"/>
      <c r="AA17" s="54"/>
    </row>
    <row r="18" spans="1:27" ht="12.75" thickBot="1">
      <c r="A18" s="16"/>
      <c r="B18" s="21"/>
      <c r="C18" s="21">
        <v>37</v>
      </c>
      <c r="D18" s="22">
        <v>3318.5632000000001</v>
      </c>
      <c r="E18" s="23">
        <v>36.274099999999997</v>
      </c>
      <c r="F18" s="23">
        <v>39.874400000000001</v>
      </c>
      <c r="G18" s="23">
        <v>39.842700000000001</v>
      </c>
      <c r="H18" s="23">
        <v>68707.714999999997</v>
      </c>
      <c r="I18" s="23">
        <v>69.91</v>
      </c>
      <c r="J18" s="24">
        <f t="shared" si="0"/>
        <v>19.085476388888889</v>
      </c>
      <c r="L18" s="22">
        <v>3302.3231999999998</v>
      </c>
      <c r="M18" s="23">
        <v>36.295299999999997</v>
      </c>
      <c r="N18" s="23">
        <v>39.878</v>
      </c>
      <c r="O18" s="23">
        <v>39.843400000000003</v>
      </c>
      <c r="P18" s="23">
        <v>87101.731</v>
      </c>
      <c r="Q18" s="23">
        <v>81.548000000000002</v>
      </c>
      <c r="R18" s="24">
        <f t="shared" si="1"/>
        <v>24.194925277777777</v>
      </c>
      <c r="S18" s="18">
        <f t="shared" si="3"/>
        <v>1.2677139823380825</v>
      </c>
      <c r="T18" s="18">
        <f t="shared" si="4"/>
        <v>1.1664711772278644</v>
      </c>
      <c r="U18" s="59"/>
      <c r="V18" s="43"/>
      <c r="W18" s="55"/>
      <c r="X18" s="56"/>
      <c r="Y18" s="43"/>
      <c r="Z18" s="55"/>
      <c r="AA18" s="56"/>
    </row>
    <row r="19" spans="1:27">
      <c r="A19" s="16"/>
      <c r="B19" s="16" t="s">
        <v>419</v>
      </c>
      <c r="C19" s="11">
        <v>22</v>
      </c>
      <c r="D19" s="12">
        <v>66121.614400000006</v>
      </c>
      <c r="E19" s="13">
        <v>38.049500000000002</v>
      </c>
      <c r="F19" s="13">
        <v>45.643900000000002</v>
      </c>
      <c r="G19" s="13">
        <v>43.364800000000002</v>
      </c>
      <c r="H19" s="13">
        <v>248465.56</v>
      </c>
      <c r="I19" s="13">
        <v>147.28700000000001</v>
      </c>
      <c r="J19" s="14">
        <f t="shared" si="0"/>
        <v>69.018211111111114</v>
      </c>
      <c r="L19" s="12">
        <v>66880.888000000006</v>
      </c>
      <c r="M19" s="13">
        <v>38.071300000000001</v>
      </c>
      <c r="N19" s="13">
        <v>45.6526</v>
      </c>
      <c r="O19" s="13">
        <v>43.370199999999997</v>
      </c>
      <c r="P19" s="13">
        <v>358032.712</v>
      </c>
      <c r="Q19" s="13">
        <v>150.65899999999999</v>
      </c>
      <c r="R19" s="14">
        <f t="shared" si="1"/>
        <v>99.453531111111104</v>
      </c>
      <c r="S19" s="18">
        <f t="shared" si="3"/>
        <v>1.4409752079926088</v>
      </c>
      <c r="T19" s="18">
        <f t="shared" si="4"/>
        <v>1.0228940775492745</v>
      </c>
      <c r="U19" s="59"/>
      <c r="V19" s="41">
        <f>bdrate($D19:$D22,E19:E22,$L19:$L22,M19:M22)</f>
        <v>-1.6668987305508032E-2</v>
      </c>
      <c r="W19" s="46">
        <f>bdrate($D19:$D22,F19:F22,$L19:$L22,N19:N22)</f>
        <v>-7.6240696597950075E-3</v>
      </c>
      <c r="X19" s="46">
        <f>bdrate($D19:$D22,G19:G22,$L19:$L22,O19:O22)</f>
        <v>-2.5199269773680255E-3</v>
      </c>
      <c r="Y19" s="44">
        <f>bdrateOld($D19:$D22,E19:E22,$L19:$L22,M19:M22)</f>
        <v>-1.7803385069483868E-2</v>
      </c>
      <c r="Z19" s="48">
        <f>bdrateOld($D19:$D22,F19:F22,$L19:$L22,N19:N22)</f>
        <v>-7.9957595044308771E-3</v>
      </c>
      <c r="AA19" s="49">
        <f>bdrateOld($D19:$D22,G19:G22,$L19:$L22,O19:O22)</f>
        <v>-2.5969291434723152E-3</v>
      </c>
    </row>
    <row r="20" spans="1:27">
      <c r="A20" s="16"/>
      <c r="B20" s="16"/>
      <c r="C20" s="16">
        <v>27</v>
      </c>
      <c r="D20" s="17">
        <v>14365.183999999999</v>
      </c>
      <c r="E20" s="18">
        <v>37.1661</v>
      </c>
      <c r="F20" s="18">
        <v>44.907200000000003</v>
      </c>
      <c r="G20" s="18">
        <v>42.597000000000001</v>
      </c>
      <c r="H20" s="18">
        <v>136699.584</v>
      </c>
      <c r="I20" s="18">
        <v>97.484999999999999</v>
      </c>
      <c r="J20" s="19">
        <f t="shared" si="0"/>
        <v>37.972106666666669</v>
      </c>
      <c r="L20" s="17">
        <v>14485.395200000001</v>
      </c>
      <c r="M20" s="18">
        <v>37.182600000000001</v>
      </c>
      <c r="N20" s="18">
        <v>44.918199999999999</v>
      </c>
      <c r="O20" s="18">
        <v>42.6021</v>
      </c>
      <c r="P20" s="18">
        <v>182037.617</v>
      </c>
      <c r="Q20" s="18">
        <v>102.33799999999999</v>
      </c>
      <c r="R20" s="19">
        <f t="shared" si="1"/>
        <v>50.566004722222225</v>
      </c>
      <c r="S20" s="18">
        <f t="shared" si="3"/>
        <v>1.3316618212971298</v>
      </c>
      <c r="T20" s="18">
        <f t="shared" si="4"/>
        <v>1.04978201774632</v>
      </c>
      <c r="U20" s="59"/>
      <c r="V20" s="42"/>
      <c r="W20" s="25"/>
      <c r="X20" s="25"/>
      <c r="Y20" s="42"/>
      <c r="Z20" s="25"/>
      <c r="AA20" s="54"/>
    </row>
    <row r="21" spans="1:27">
      <c r="A21" s="16"/>
      <c r="B21" s="16"/>
      <c r="C21" s="16">
        <v>32</v>
      </c>
      <c r="D21" s="17">
        <v>6084.3936000000003</v>
      </c>
      <c r="E21" s="18">
        <v>36.253100000000003</v>
      </c>
      <c r="F21" s="18">
        <v>43.858800000000002</v>
      </c>
      <c r="G21" s="18">
        <v>41.526699999999998</v>
      </c>
      <c r="H21" s="18">
        <v>91405.763999999996</v>
      </c>
      <c r="I21" s="18">
        <v>81.378</v>
      </c>
      <c r="J21" s="19">
        <f t="shared" si="0"/>
        <v>25.39049</v>
      </c>
      <c r="L21" s="17">
        <v>6074.4687999999996</v>
      </c>
      <c r="M21" s="18">
        <v>36.274500000000003</v>
      </c>
      <c r="N21" s="18">
        <v>43.866</v>
      </c>
      <c r="O21" s="18">
        <v>41.530999999999999</v>
      </c>
      <c r="P21" s="18">
        <v>125181.414</v>
      </c>
      <c r="Q21" s="18">
        <v>92.106999999999999</v>
      </c>
      <c r="R21" s="19">
        <f t="shared" si="1"/>
        <v>34.772615000000002</v>
      </c>
      <c r="S21" s="18">
        <f t="shared" si="3"/>
        <v>1.3695133492894387</v>
      </c>
      <c r="T21" s="18">
        <f t="shared" si="4"/>
        <v>1.1318415296517486</v>
      </c>
      <c r="U21" s="59"/>
      <c r="V21" s="42"/>
      <c r="W21" s="25"/>
      <c r="X21" s="25"/>
      <c r="Y21" s="42"/>
      <c r="Z21" s="25"/>
      <c r="AA21" s="54"/>
    </row>
    <row r="22" spans="1:27" ht="12.75" thickBot="1">
      <c r="A22" s="16"/>
      <c r="B22" s="21"/>
      <c r="C22" s="21">
        <v>37</v>
      </c>
      <c r="D22" s="22">
        <v>3140.9744000000001</v>
      </c>
      <c r="E22" s="23">
        <v>34.891399999999997</v>
      </c>
      <c r="F22" s="23">
        <v>42.786499999999997</v>
      </c>
      <c r="G22" s="23">
        <v>40.411000000000001</v>
      </c>
      <c r="H22" s="23">
        <v>65911.236000000004</v>
      </c>
      <c r="I22" s="23">
        <v>132.36099999999999</v>
      </c>
      <c r="J22" s="24">
        <f t="shared" si="0"/>
        <v>18.308676666666667</v>
      </c>
      <c r="L22" s="22">
        <v>3128.4047999999998</v>
      </c>
      <c r="M22" s="23">
        <v>34.915500000000002</v>
      </c>
      <c r="N22" s="23">
        <v>42.799100000000003</v>
      </c>
      <c r="O22" s="23">
        <v>40.414299999999997</v>
      </c>
      <c r="P22" s="23">
        <v>84485.781000000003</v>
      </c>
      <c r="Q22" s="23">
        <v>75.465999999999994</v>
      </c>
      <c r="R22" s="24">
        <f t="shared" si="1"/>
        <v>23.468272500000001</v>
      </c>
      <c r="S22" s="18">
        <f t="shared" si="3"/>
        <v>1.2818115108628823</v>
      </c>
      <c r="T22" s="18">
        <f t="shared" si="4"/>
        <v>0.5701528395826565</v>
      </c>
      <c r="U22" s="59"/>
      <c r="V22" s="43"/>
      <c r="W22" s="55"/>
      <c r="X22" s="55"/>
      <c r="Y22" s="43"/>
      <c r="Z22" s="55"/>
      <c r="AA22" s="56"/>
    </row>
    <row r="23" spans="1:27">
      <c r="A23" s="35"/>
      <c r="B23" s="16" t="s">
        <v>420</v>
      </c>
      <c r="C23" s="34">
        <v>22</v>
      </c>
      <c r="D23" s="12">
        <v>123080.3027</v>
      </c>
      <c r="E23" s="13">
        <v>42.538499999999999</v>
      </c>
      <c r="F23" s="13">
        <v>37.698799999999999</v>
      </c>
      <c r="G23" s="13">
        <v>38.741500000000002</v>
      </c>
      <c r="H23" s="13">
        <v>287750.85200000001</v>
      </c>
      <c r="I23" s="13">
        <v>186.82300000000001</v>
      </c>
      <c r="J23" s="14">
        <f t="shared" si="0"/>
        <v>79.930792222222223</v>
      </c>
      <c r="L23" s="12">
        <v>123356.24800000001</v>
      </c>
      <c r="M23" s="13">
        <v>42.651400000000002</v>
      </c>
      <c r="N23" s="13">
        <v>37.704900000000002</v>
      </c>
      <c r="O23" s="13">
        <v>38.747300000000003</v>
      </c>
      <c r="P23" s="13">
        <v>374885.04300000001</v>
      </c>
      <c r="Q23" s="13">
        <v>196.065</v>
      </c>
      <c r="R23" s="14">
        <f t="shared" si="1"/>
        <v>104.13473416666668</v>
      </c>
      <c r="S23" s="18">
        <f t="shared" si="3"/>
        <v>1.3028112354642132</v>
      </c>
      <c r="T23" s="18">
        <f t="shared" si="4"/>
        <v>1.0494692837605648</v>
      </c>
      <c r="U23" s="59"/>
      <c r="V23" s="41">
        <f>bdrate($D23:$D26,E23:E26,$L23:$L26,M23:M26)</f>
        <v>-1.8528006428285448E-2</v>
      </c>
      <c r="W23" s="46">
        <f>bdrate($D23:$D26,F23:F26,$L23:$L26,N23:N26)</f>
        <v>1.777198236566413E-3</v>
      </c>
      <c r="X23" s="46">
        <f>bdrate($D23:$D26,G23:G26,$L23:$L26,O23:O26)</f>
        <v>2.0251433010030073E-3</v>
      </c>
      <c r="Y23" s="44">
        <f>bdrateOld($D23:$D26,E23:E26,$L23:$L26,M23:M26)</f>
        <v>-1.8547465580159184E-2</v>
      </c>
      <c r="Z23" s="48">
        <f>bdrateOld($D23:$D26,F23:F26,$L23:$L26,N23:N26)</f>
        <v>1.6654915266387516E-3</v>
      </c>
      <c r="AA23" s="49">
        <f>bdrateOld($D23:$D26,G23:G26,$L23:$L26,O23:O26)</f>
        <v>2.1818116936744847E-3</v>
      </c>
    </row>
    <row r="24" spans="1:27">
      <c r="A24" s="35"/>
      <c r="B24" s="16"/>
      <c r="C24" s="35">
        <v>27</v>
      </c>
      <c r="D24" s="17">
        <v>50669.9787</v>
      </c>
      <c r="E24" s="18">
        <v>38.744599999999998</v>
      </c>
      <c r="F24" s="18">
        <v>34.875100000000003</v>
      </c>
      <c r="G24" s="18">
        <v>36.2562</v>
      </c>
      <c r="H24" s="18">
        <v>221100.204</v>
      </c>
      <c r="I24" s="18">
        <v>150.54400000000001</v>
      </c>
      <c r="J24" s="19">
        <f t="shared" si="0"/>
        <v>61.41672333333333</v>
      </c>
      <c r="L24" s="17">
        <v>50872.6</v>
      </c>
      <c r="M24" s="18">
        <v>38.843400000000003</v>
      </c>
      <c r="N24" s="18">
        <v>34.879899999999999</v>
      </c>
      <c r="O24" s="18">
        <v>36.258499999999998</v>
      </c>
      <c r="P24" s="18">
        <v>282995.70799999998</v>
      </c>
      <c r="Q24" s="18">
        <v>150.46100000000001</v>
      </c>
      <c r="R24" s="19">
        <f t="shared" si="1"/>
        <v>78.609918888888885</v>
      </c>
      <c r="S24" s="18">
        <f t="shared" si="3"/>
        <v>1.2799432242948088</v>
      </c>
      <c r="T24" s="18">
        <f t="shared" si="4"/>
        <v>0.99944866617068762</v>
      </c>
      <c r="U24" s="59"/>
      <c r="V24" s="42"/>
      <c r="W24" s="25"/>
      <c r="X24" s="25"/>
      <c r="Y24" s="42"/>
      <c r="Z24" s="25"/>
      <c r="AA24" s="54"/>
    </row>
    <row r="25" spans="1:27">
      <c r="A25" s="35"/>
      <c r="B25" s="35"/>
      <c r="C25" s="35">
        <v>32</v>
      </c>
      <c r="D25" s="17">
        <v>23937.472000000002</v>
      </c>
      <c r="E25" s="18">
        <v>35.615400000000001</v>
      </c>
      <c r="F25" s="18">
        <v>33.1342</v>
      </c>
      <c r="G25" s="18">
        <v>34.694699999999997</v>
      </c>
      <c r="H25" s="18">
        <v>178898.12700000001</v>
      </c>
      <c r="I25" s="18">
        <v>131.58500000000001</v>
      </c>
      <c r="J25" s="19">
        <f t="shared" si="0"/>
        <v>49.693924166666669</v>
      </c>
      <c r="L25" s="17">
        <v>24052.944</v>
      </c>
      <c r="M25" s="18">
        <v>35.697499999999998</v>
      </c>
      <c r="N25" s="18">
        <v>33.139099999999999</v>
      </c>
      <c r="O25" s="18">
        <v>34.700600000000001</v>
      </c>
      <c r="P25" s="18">
        <v>218262.473</v>
      </c>
      <c r="Q25" s="18">
        <v>114.88200000000001</v>
      </c>
      <c r="R25" s="19">
        <f t="shared" si="1"/>
        <v>60.628464722222219</v>
      </c>
      <c r="S25" s="18">
        <f t="shared" si="3"/>
        <v>1.2200377760243404</v>
      </c>
      <c r="T25" s="18">
        <f t="shared" si="4"/>
        <v>0.87306303910020133</v>
      </c>
      <c r="U25" s="59"/>
      <c r="V25" s="42"/>
      <c r="W25" s="25"/>
      <c r="X25" s="25"/>
      <c r="Y25" s="42"/>
      <c r="Z25" s="25"/>
      <c r="AA25" s="54"/>
    </row>
    <row r="26" spans="1:27" ht="12.75" thickBot="1">
      <c r="A26" s="35"/>
      <c r="B26" s="36"/>
      <c r="C26" s="36">
        <v>37</v>
      </c>
      <c r="D26" s="22">
        <v>10724.9573</v>
      </c>
      <c r="E26" s="23">
        <v>32.780900000000003</v>
      </c>
      <c r="F26" s="23">
        <v>31.660499999999999</v>
      </c>
      <c r="G26" s="23">
        <v>33.375100000000003</v>
      </c>
      <c r="H26" s="23">
        <v>129063.802</v>
      </c>
      <c r="I26" s="23">
        <v>90.373000000000005</v>
      </c>
      <c r="J26" s="24">
        <f t="shared" si="0"/>
        <v>35.851056111111113</v>
      </c>
      <c r="L26" s="22">
        <v>10772.2533</v>
      </c>
      <c r="M26" s="23">
        <v>32.850200000000001</v>
      </c>
      <c r="N26" s="23">
        <v>31.6675</v>
      </c>
      <c r="O26" s="23">
        <v>33.380000000000003</v>
      </c>
      <c r="P26" s="23">
        <v>161185.432</v>
      </c>
      <c r="Q26" s="23">
        <v>94.576999999999998</v>
      </c>
      <c r="R26" s="24">
        <f t="shared" si="1"/>
        <v>44.773731111111111</v>
      </c>
      <c r="S26" s="18">
        <f t="shared" si="3"/>
        <v>1.2488817894888917</v>
      </c>
      <c r="T26" s="18">
        <f t="shared" si="4"/>
        <v>1.0465183185243379</v>
      </c>
      <c r="U26" s="59"/>
      <c r="V26" s="43"/>
      <c r="W26" s="55"/>
      <c r="X26" s="55"/>
      <c r="Y26" s="43"/>
      <c r="Z26" s="55"/>
      <c r="AA26" s="56"/>
    </row>
    <row r="27" spans="1:27">
      <c r="A27" s="11" t="s">
        <v>1</v>
      </c>
      <c r="B27" s="11" t="s">
        <v>422</v>
      </c>
      <c r="C27" s="11">
        <v>22</v>
      </c>
      <c r="D27" s="12">
        <v>16749.597600000001</v>
      </c>
      <c r="E27" s="13">
        <v>40.658000000000001</v>
      </c>
      <c r="F27" s="13">
        <v>44.276499999999999</v>
      </c>
      <c r="G27" s="13">
        <v>45.137</v>
      </c>
      <c r="H27" s="13">
        <v>100323.39200000001</v>
      </c>
      <c r="I27" s="13">
        <v>65.986000000000004</v>
      </c>
      <c r="J27" s="14">
        <f t="shared" si="0"/>
        <v>27.867608888888892</v>
      </c>
      <c r="L27" s="12">
        <v>16903.627199999999</v>
      </c>
      <c r="M27" s="13">
        <v>40.7194</v>
      </c>
      <c r="N27" s="13">
        <v>44.288800000000002</v>
      </c>
      <c r="O27" s="13">
        <v>45.147100000000002</v>
      </c>
      <c r="P27" s="13">
        <v>138037.52299999999</v>
      </c>
      <c r="Q27" s="13">
        <v>68.686000000000007</v>
      </c>
      <c r="R27" s="14">
        <f t="shared" si="1"/>
        <v>38.343756388888885</v>
      </c>
      <c r="S27" s="13">
        <f t="shared" si="2"/>
        <v>1.375925596694338</v>
      </c>
      <c r="T27" s="13">
        <f t="shared" si="2"/>
        <v>1.0409177704361532</v>
      </c>
      <c r="U27" s="58"/>
      <c r="V27" s="41">
        <f>bdrate($D27:$D30,E27:E30,$L27:$L30,M27:M30)</f>
        <v>-1.7470012794588596E-2</v>
      </c>
      <c r="W27" s="46">
        <f>bdrate($D27:$D30,F27:F30,$L27:$L30,N27:N30)</f>
        <v>-1.5172104593437208E-3</v>
      </c>
      <c r="X27" s="47">
        <f>bdrate($D27:$D30,G27:G30,$L27:$L30,O27:O30)</f>
        <v>2.8995623692671391E-3</v>
      </c>
      <c r="Y27" s="41">
        <f>bdrateOld($D27:$D30,E27:E30,$L27:$L30,M27:M30)</f>
        <v>-1.7510829305773523E-2</v>
      </c>
      <c r="Z27" s="46">
        <f>bdrateOld($D27:$D30,F27:F30,$L27:$L30,N27:N30)</f>
        <v>-1.6858359475172557E-3</v>
      </c>
      <c r="AA27" s="47">
        <f>bdrateOld($D27:$D30,G27:G30,$L27:$L30,O27:O30)</f>
        <v>2.6943448083101007E-3</v>
      </c>
    </row>
    <row r="28" spans="1:27">
      <c r="A28" s="16" t="s">
        <v>47</v>
      </c>
      <c r="B28" s="16"/>
      <c r="C28" s="16">
        <v>27</v>
      </c>
      <c r="D28" s="17">
        <v>6743.1487999999999</v>
      </c>
      <c r="E28" s="18">
        <v>38.621499999999997</v>
      </c>
      <c r="F28" s="18">
        <v>42.871499999999997</v>
      </c>
      <c r="G28" s="18">
        <v>43.8217</v>
      </c>
      <c r="H28" s="18">
        <v>65240.663</v>
      </c>
      <c r="I28" s="18">
        <v>45.889000000000003</v>
      </c>
      <c r="J28" s="19">
        <f t="shared" si="0"/>
        <v>18.122406388888891</v>
      </c>
      <c r="L28" s="17">
        <v>6759.7392</v>
      </c>
      <c r="M28" s="18">
        <v>38.672400000000003</v>
      </c>
      <c r="N28" s="18">
        <v>42.880600000000001</v>
      </c>
      <c r="O28" s="18">
        <v>43.825499999999998</v>
      </c>
      <c r="P28" s="18">
        <v>87332.706999999995</v>
      </c>
      <c r="Q28" s="18">
        <v>47.744999999999997</v>
      </c>
      <c r="R28" s="19">
        <f t="shared" si="1"/>
        <v>24.259085277777775</v>
      </c>
      <c r="S28" s="18">
        <f t="shared" si="2"/>
        <v>1.3386238426179082</v>
      </c>
      <c r="T28" s="18">
        <f t="shared" si="2"/>
        <v>1.0404454226503081</v>
      </c>
      <c r="U28" s="59"/>
      <c r="V28" s="42"/>
      <c r="W28" s="25"/>
      <c r="X28" s="54"/>
      <c r="Y28" s="42"/>
      <c r="Z28" s="25"/>
      <c r="AA28" s="54"/>
    </row>
    <row r="29" spans="1:27">
      <c r="A29" s="16"/>
      <c r="B29" s="16"/>
      <c r="C29" s="16">
        <v>32</v>
      </c>
      <c r="D29" s="17">
        <v>3153.6248000000001</v>
      </c>
      <c r="E29" s="18">
        <v>36.5002</v>
      </c>
      <c r="F29" s="18">
        <v>41.435499999999998</v>
      </c>
      <c r="G29" s="18">
        <v>42.469700000000003</v>
      </c>
      <c r="H29" s="18">
        <v>48085.879000000001</v>
      </c>
      <c r="I29" s="18">
        <v>40.042999999999999</v>
      </c>
      <c r="J29" s="19">
        <f t="shared" si="0"/>
        <v>13.357188611111111</v>
      </c>
      <c r="L29" s="17">
        <v>3160.6311999999998</v>
      </c>
      <c r="M29" s="18">
        <v>36.5565</v>
      </c>
      <c r="N29" s="18">
        <v>41.439100000000003</v>
      </c>
      <c r="O29" s="18">
        <v>42.462200000000003</v>
      </c>
      <c r="P29" s="18">
        <v>62744.493999999999</v>
      </c>
      <c r="Q29" s="18">
        <v>39.311999999999998</v>
      </c>
      <c r="R29" s="19">
        <f t="shared" si="1"/>
        <v>17.42902611111111</v>
      </c>
      <c r="S29" s="18">
        <f t="shared" si="2"/>
        <v>1.3048424049813043</v>
      </c>
      <c r="T29" s="18">
        <f t="shared" si="2"/>
        <v>0.98174462452863165</v>
      </c>
      <c r="U29" s="59"/>
      <c r="V29" s="42"/>
      <c r="W29" s="25"/>
      <c r="X29" s="54"/>
      <c r="Y29" s="42"/>
      <c r="Z29" s="25"/>
      <c r="AA29" s="54"/>
    </row>
    <row r="30" spans="1:27" ht="12.75" thickBot="1">
      <c r="A30" s="16"/>
      <c r="B30" s="21"/>
      <c r="C30" s="21">
        <v>37</v>
      </c>
      <c r="D30" s="22">
        <v>1460.8248000000001</v>
      </c>
      <c r="E30" s="23">
        <v>34.246499999999997</v>
      </c>
      <c r="F30" s="23">
        <v>40.2104</v>
      </c>
      <c r="G30" s="23">
        <v>41.2697</v>
      </c>
      <c r="H30" s="23">
        <v>34300.300000000003</v>
      </c>
      <c r="I30" s="23">
        <v>34.792000000000002</v>
      </c>
      <c r="J30" s="24">
        <f t="shared" si="0"/>
        <v>9.5278611111111111</v>
      </c>
      <c r="L30" s="22">
        <v>1468.3096</v>
      </c>
      <c r="M30" s="23">
        <v>34.306800000000003</v>
      </c>
      <c r="N30" s="23">
        <v>40.225000000000001</v>
      </c>
      <c r="O30" s="23">
        <v>41.2742</v>
      </c>
      <c r="P30" s="23">
        <v>43721.553999999996</v>
      </c>
      <c r="Q30" s="23">
        <v>36.874000000000002</v>
      </c>
      <c r="R30" s="24">
        <f t="shared" si="1"/>
        <v>12.14487611111111</v>
      </c>
      <c r="S30" s="18">
        <f t="shared" si="2"/>
        <v>1.2746697259207644</v>
      </c>
      <c r="T30" s="18">
        <f t="shared" si="2"/>
        <v>1.0598413428374338</v>
      </c>
      <c r="U30" s="59"/>
      <c r="V30" s="43"/>
      <c r="W30" s="55"/>
      <c r="X30" s="56"/>
      <c r="Y30" s="43"/>
      <c r="Z30" s="55"/>
      <c r="AA30" s="56"/>
    </row>
    <row r="31" spans="1:27">
      <c r="A31" s="16"/>
      <c r="B31" s="11" t="s">
        <v>421</v>
      </c>
      <c r="C31" s="11">
        <v>22</v>
      </c>
      <c r="D31" s="12">
        <v>11219.1888</v>
      </c>
      <c r="E31" s="13">
        <v>44.341299999999997</v>
      </c>
      <c r="F31" s="13">
        <v>47.498600000000003</v>
      </c>
      <c r="G31" s="13">
        <v>48.204099999999997</v>
      </c>
      <c r="H31" s="13">
        <v>112541.901</v>
      </c>
      <c r="I31" s="13">
        <v>58.47</v>
      </c>
      <c r="J31" s="14">
        <f t="shared" si="0"/>
        <v>31.261639166666665</v>
      </c>
      <c r="K31" s="26"/>
      <c r="L31" s="12">
        <v>11232.632</v>
      </c>
      <c r="M31" s="13">
        <v>44.397199999999998</v>
      </c>
      <c r="N31" s="13">
        <v>47.498199999999997</v>
      </c>
      <c r="O31" s="13">
        <v>48.204099999999997</v>
      </c>
      <c r="P31" s="13">
        <v>149466.85800000001</v>
      </c>
      <c r="Q31" s="13">
        <v>61.054000000000002</v>
      </c>
      <c r="R31" s="14">
        <f t="shared" si="1"/>
        <v>41.518571666666666</v>
      </c>
      <c r="S31" s="18">
        <f t="shared" si="2"/>
        <v>1.3280996381960886</v>
      </c>
      <c r="T31" s="18">
        <f t="shared" si="2"/>
        <v>1.04419360355738</v>
      </c>
      <c r="U31" s="59"/>
      <c r="V31" s="41">
        <f>bdrate($D31:$D34,E31:E34,$L31:$L34,M31:M34)</f>
        <v>-1.0224694188452843E-2</v>
      </c>
      <c r="W31" s="46">
        <f>bdrate($D31:$D34,F31:F34,$L31:$L34,N31:N34)</f>
        <v>1.0013240953210545E-3</v>
      </c>
      <c r="X31" s="46">
        <f>bdrate($D31:$D34,G31:G34,$L31:$L34,O31:O34)</f>
        <v>1.0617004541457753E-3</v>
      </c>
      <c r="Y31" s="44">
        <f>bdrateOld($D31:$D34,E31:E34,$L31:$L34,M31:M34)</f>
        <v>-1.0215153738168059E-2</v>
      </c>
      <c r="Z31" s="48">
        <f>bdrateOld($D31:$D34,F31:F34,$L31:$L34,N31:N34)</f>
        <v>7.9420932751816942E-4</v>
      </c>
      <c r="AA31" s="49">
        <f>bdrateOld($D31:$D34,G31:G34,$L31:$L34,O31:O34)</f>
        <v>6.9748920424084204E-4</v>
      </c>
    </row>
    <row r="32" spans="1:27">
      <c r="A32" s="16"/>
      <c r="B32" s="16"/>
      <c r="C32" s="16">
        <v>27</v>
      </c>
      <c r="D32" s="17">
        <v>5638.8703999999998</v>
      </c>
      <c r="E32" s="18">
        <v>41.219900000000003</v>
      </c>
      <c r="F32" s="18">
        <v>45.4268</v>
      </c>
      <c r="G32" s="18">
        <v>45.871699999999997</v>
      </c>
      <c r="H32" s="18">
        <v>90417.163</v>
      </c>
      <c r="I32" s="18">
        <v>47.453000000000003</v>
      </c>
      <c r="J32" s="19">
        <f t="shared" si="0"/>
        <v>25.115878611111111</v>
      </c>
      <c r="K32" s="26"/>
      <c r="L32" s="17">
        <v>5642.8991999999998</v>
      </c>
      <c r="M32" s="18">
        <v>41.275599999999997</v>
      </c>
      <c r="N32" s="18">
        <v>45.427300000000002</v>
      </c>
      <c r="O32" s="18">
        <v>45.877299999999998</v>
      </c>
      <c r="P32" s="18">
        <v>118942.20699999999</v>
      </c>
      <c r="Q32" s="18">
        <v>48.167000000000002</v>
      </c>
      <c r="R32" s="19">
        <f t="shared" si="1"/>
        <v>33.039501944444446</v>
      </c>
      <c r="S32" s="18">
        <f t="shared" si="2"/>
        <v>1.3154826257930698</v>
      </c>
      <c r="T32" s="18">
        <f t="shared" si="2"/>
        <v>1.0150464670305355</v>
      </c>
      <c r="U32" s="59"/>
      <c r="V32" s="42"/>
      <c r="W32" s="25"/>
      <c r="X32" s="25"/>
      <c r="Y32" s="42"/>
      <c r="Z32" s="25"/>
      <c r="AA32" s="54"/>
    </row>
    <row r="33" spans="1:27">
      <c r="A33" s="16"/>
      <c r="B33" s="16"/>
      <c r="C33" s="16">
        <v>32</v>
      </c>
      <c r="D33" s="17">
        <v>2989.9967999999999</v>
      </c>
      <c r="E33" s="18">
        <v>38.1706</v>
      </c>
      <c r="F33" s="18">
        <v>43.735900000000001</v>
      </c>
      <c r="G33" s="18">
        <v>44.0214</v>
      </c>
      <c r="H33" s="18">
        <v>74211.342999999993</v>
      </c>
      <c r="I33" s="18">
        <v>41.683999999999997</v>
      </c>
      <c r="J33" s="19">
        <f t="shared" si="0"/>
        <v>20.614261944444443</v>
      </c>
      <c r="K33" s="26"/>
      <c r="L33" s="17">
        <v>2994.9479999999999</v>
      </c>
      <c r="M33" s="18">
        <v>38.224200000000003</v>
      </c>
      <c r="N33" s="18">
        <v>43.733600000000003</v>
      </c>
      <c r="O33" s="18">
        <v>44.013599999999997</v>
      </c>
      <c r="P33" s="18">
        <v>94341.354000000007</v>
      </c>
      <c r="Q33" s="18">
        <v>42.875</v>
      </c>
      <c r="R33" s="19">
        <f t="shared" si="1"/>
        <v>26.205931666666668</v>
      </c>
      <c r="S33" s="18">
        <f t="shared" si="2"/>
        <v>1.2712524822519384</v>
      </c>
      <c r="T33" s="18">
        <f t="shared" si="2"/>
        <v>1.0285721140005759</v>
      </c>
      <c r="U33" s="59"/>
      <c r="V33" s="42"/>
      <c r="W33" s="25"/>
      <c r="X33" s="25"/>
      <c r="Y33" s="42"/>
      <c r="Z33" s="25"/>
      <c r="AA33" s="54"/>
    </row>
    <row r="34" spans="1:27" ht="12.75" thickBot="1">
      <c r="A34" s="16"/>
      <c r="B34" s="21"/>
      <c r="C34" s="21">
        <v>37</v>
      </c>
      <c r="D34" s="22">
        <v>1559.9280000000001</v>
      </c>
      <c r="E34" s="23">
        <v>35.238399999999999</v>
      </c>
      <c r="F34" s="23">
        <v>42.325600000000001</v>
      </c>
      <c r="G34" s="23">
        <v>42.440800000000003</v>
      </c>
      <c r="H34" s="23">
        <v>57207.942000000003</v>
      </c>
      <c r="I34" s="23">
        <v>36.78</v>
      </c>
      <c r="J34" s="24">
        <f t="shared" si="0"/>
        <v>15.891095</v>
      </c>
      <c r="K34" s="26"/>
      <c r="L34" s="22">
        <v>1564.12</v>
      </c>
      <c r="M34" s="23">
        <v>35.284199999999998</v>
      </c>
      <c r="N34" s="23">
        <v>42.335999999999999</v>
      </c>
      <c r="O34" s="23">
        <v>42.448599999999999</v>
      </c>
      <c r="P34" s="23">
        <v>73103.062000000005</v>
      </c>
      <c r="Q34" s="23">
        <v>37.619</v>
      </c>
      <c r="R34" s="24">
        <f t="shared" si="1"/>
        <v>20.306406111111112</v>
      </c>
      <c r="S34" s="18">
        <f t="shared" si="2"/>
        <v>1.2778481351417956</v>
      </c>
      <c r="T34" s="18">
        <f t="shared" si="2"/>
        <v>1.0228113104948342</v>
      </c>
      <c r="U34" s="59"/>
      <c r="V34" s="43"/>
      <c r="W34" s="55"/>
      <c r="X34" s="55"/>
      <c r="Y34" s="43"/>
      <c r="Z34" s="55"/>
      <c r="AA34" s="56"/>
    </row>
    <row r="35" spans="1:27">
      <c r="A35" s="16"/>
      <c r="B35" s="11" t="s">
        <v>2</v>
      </c>
      <c r="C35" s="11">
        <v>22</v>
      </c>
      <c r="D35" s="12">
        <v>17442.284800000001</v>
      </c>
      <c r="E35" s="13">
        <v>38.514899999999997</v>
      </c>
      <c r="F35" s="13">
        <v>40.160899999999998</v>
      </c>
      <c r="G35" s="13">
        <v>44.021599999999999</v>
      </c>
      <c r="H35" s="13">
        <v>77242.020999999993</v>
      </c>
      <c r="I35" s="13">
        <v>62.865000000000002</v>
      </c>
      <c r="J35" s="14">
        <f t="shared" si="0"/>
        <v>21.456116944444442</v>
      </c>
      <c r="L35" s="12">
        <v>17673.7592</v>
      </c>
      <c r="M35" s="13">
        <v>38.555900000000001</v>
      </c>
      <c r="N35" s="13">
        <v>40.165700000000001</v>
      </c>
      <c r="O35" s="13">
        <v>44.029200000000003</v>
      </c>
      <c r="P35" s="13">
        <v>115089.413</v>
      </c>
      <c r="Q35" s="13">
        <v>59.281999999999996</v>
      </c>
      <c r="R35" s="14">
        <f t="shared" si="1"/>
        <v>31.969281388888888</v>
      </c>
      <c r="S35" s="18">
        <f t="shared" si="2"/>
        <v>1.4899844865529865</v>
      </c>
      <c r="T35" s="18">
        <f t="shared" si="2"/>
        <v>0.94300485166626891</v>
      </c>
      <c r="U35" s="59"/>
      <c r="V35" s="41">
        <f>bdrate($D35:$D38,E35:E38,$L35:$L38,M35:M38)</f>
        <v>-1.6007224733824321E-2</v>
      </c>
      <c r="W35" s="46">
        <f>bdrate($D35:$D38,F35:F38,$L35:$L38,N35:N38)</f>
        <v>5.4177419882139866E-4</v>
      </c>
      <c r="X35" s="46">
        <f>bdrate($D35:$D38,G35:G38,$L35:$L38,O35:O38)</f>
        <v>-2.2343634610678675E-3</v>
      </c>
      <c r="Y35" s="44">
        <f>bdrateOld($D35:$D38,E35:E38,$L35:$L38,M35:M38)</f>
        <v>-1.6199033391623541E-2</v>
      </c>
      <c r="Z35" s="48">
        <f>bdrateOld($D35:$D38,F35:F38,$L35:$L38,N35:N38)</f>
        <v>4.3087280628739677E-4</v>
      </c>
      <c r="AA35" s="49">
        <f>bdrateOld($D35:$D38,G35:G38,$L35:$L38,O35:O38)</f>
        <v>-2.0872055342828766E-3</v>
      </c>
    </row>
    <row r="36" spans="1:27">
      <c r="A36" s="16"/>
      <c r="B36" s="16"/>
      <c r="C36" s="16">
        <v>27</v>
      </c>
      <c r="D36" s="17">
        <v>5678.5767999999998</v>
      </c>
      <c r="E36" s="18">
        <v>37.007599999999996</v>
      </c>
      <c r="F36" s="18">
        <v>39.363100000000003</v>
      </c>
      <c r="G36" s="18">
        <v>42.526899999999998</v>
      </c>
      <c r="H36" s="18">
        <v>50660.584999999999</v>
      </c>
      <c r="I36" s="18">
        <v>38.340000000000003</v>
      </c>
      <c r="J36" s="19">
        <f t="shared" si="0"/>
        <v>14.072384722222221</v>
      </c>
      <c r="L36" s="17">
        <v>5697.9624000000003</v>
      </c>
      <c r="M36" s="18">
        <v>37.041800000000002</v>
      </c>
      <c r="N36" s="18">
        <v>39.369199999999999</v>
      </c>
      <c r="O36" s="18">
        <v>42.5351</v>
      </c>
      <c r="P36" s="18">
        <v>71203.974000000002</v>
      </c>
      <c r="Q36" s="18">
        <v>39.798000000000002</v>
      </c>
      <c r="R36" s="19">
        <f t="shared" si="1"/>
        <v>19.778881666666667</v>
      </c>
      <c r="S36" s="18">
        <f t="shared" si="2"/>
        <v>1.4055102995751036</v>
      </c>
      <c r="T36" s="18">
        <f t="shared" si="2"/>
        <v>1.0380281690140845</v>
      </c>
      <c r="U36" s="59"/>
      <c r="V36" s="42"/>
      <c r="W36" s="25"/>
      <c r="X36" s="25"/>
      <c r="Y36" s="42"/>
      <c r="Z36" s="25"/>
      <c r="AA36" s="54"/>
    </row>
    <row r="37" spans="1:27">
      <c r="A37" s="16"/>
      <c r="B37" s="16"/>
      <c r="C37" s="16">
        <v>32</v>
      </c>
      <c r="D37" s="17">
        <v>2711.6304</v>
      </c>
      <c r="E37" s="18">
        <v>35.273400000000002</v>
      </c>
      <c r="F37" s="18">
        <v>38.6188</v>
      </c>
      <c r="G37" s="18">
        <v>40.983499999999999</v>
      </c>
      <c r="H37" s="18">
        <v>39214.769</v>
      </c>
      <c r="I37" s="18">
        <v>30.718</v>
      </c>
      <c r="J37" s="19">
        <f t="shared" si="0"/>
        <v>10.892991388888889</v>
      </c>
      <c r="L37" s="17">
        <v>2711.8247999999999</v>
      </c>
      <c r="M37" s="18">
        <v>35.315899999999999</v>
      </c>
      <c r="N37" s="18">
        <v>38.613399999999999</v>
      </c>
      <c r="O37" s="18">
        <v>40.997199999999999</v>
      </c>
      <c r="P37" s="18">
        <v>53240.733</v>
      </c>
      <c r="Q37" s="18">
        <v>33.509</v>
      </c>
      <c r="R37" s="19">
        <f t="shared" si="1"/>
        <v>14.789092500000001</v>
      </c>
      <c r="S37" s="18">
        <f t="shared" si="2"/>
        <v>1.3576704480906161</v>
      </c>
      <c r="T37" s="18">
        <f t="shared" si="2"/>
        <v>1.090858779868481</v>
      </c>
      <c r="U37" s="59"/>
      <c r="V37" s="42"/>
      <c r="W37" s="25"/>
      <c r="X37" s="25"/>
      <c r="Y37" s="42"/>
      <c r="Z37" s="25"/>
      <c r="AA37" s="54"/>
    </row>
    <row r="38" spans="1:27" ht="12.75" thickBot="1">
      <c r="A38" s="16"/>
      <c r="B38" s="21"/>
      <c r="C38" s="21">
        <v>37</v>
      </c>
      <c r="D38" s="22">
        <v>1368.8792000000001</v>
      </c>
      <c r="E38" s="23">
        <v>33.119799999999998</v>
      </c>
      <c r="F38" s="23">
        <v>37.807099999999998</v>
      </c>
      <c r="G38" s="23">
        <v>39.613599999999998</v>
      </c>
      <c r="H38" s="23">
        <v>30175.834999999999</v>
      </c>
      <c r="I38" s="23">
        <v>31.690999999999999</v>
      </c>
      <c r="J38" s="24">
        <f t="shared" si="0"/>
        <v>8.3821763888888885</v>
      </c>
      <c r="L38" s="22">
        <v>1369.6823999999999</v>
      </c>
      <c r="M38" s="23">
        <v>33.167700000000004</v>
      </c>
      <c r="N38" s="23">
        <v>37.813699999999997</v>
      </c>
      <c r="O38" s="23">
        <v>39.616399999999999</v>
      </c>
      <c r="P38" s="23">
        <v>40666.023999999998</v>
      </c>
      <c r="Q38" s="23">
        <v>27.853000000000002</v>
      </c>
      <c r="R38" s="24">
        <f t="shared" si="1"/>
        <v>11.296117777777777</v>
      </c>
      <c r="S38" s="18">
        <f t="shared" si="2"/>
        <v>1.3476354175451979</v>
      </c>
      <c r="T38" s="18">
        <f t="shared" si="2"/>
        <v>0.87889306112145416</v>
      </c>
      <c r="U38" s="59"/>
      <c r="V38" s="43"/>
      <c r="W38" s="55"/>
      <c r="X38" s="55"/>
      <c r="Y38" s="43"/>
      <c r="Z38" s="55"/>
      <c r="AA38" s="56"/>
    </row>
    <row r="39" spans="1:27">
      <c r="A39" s="16"/>
      <c r="B39" s="11" t="s">
        <v>3</v>
      </c>
      <c r="C39" s="11">
        <v>22</v>
      </c>
      <c r="D39" s="12">
        <v>16595.871999999999</v>
      </c>
      <c r="E39" s="13">
        <v>39.290799999999997</v>
      </c>
      <c r="F39" s="13">
        <v>44.070500000000003</v>
      </c>
      <c r="G39" s="13">
        <v>45.402099999999997</v>
      </c>
      <c r="H39" s="13">
        <v>102490.092</v>
      </c>
      <c r="I39" s="13">
        <v>59.481000000000002</v>
      </c>
      <c r="J39" s="14">
        <f t="shared" si="0"/>
        <v>28.469470000000001</v>
      </c>
      <c r="L39" s="12">
        <v>16702.350399999999</v>
      </c>
      <c r="M39" s="13">
        <v>39.3185</v>
      </c>
      <c r="N39" s="13">
        <v>44.081499999999998</v>
      </c>
      <c r="O39" s="13">
        <v>45.418199999999999</v>
      </c>
      <c r="P39" s="13">
        <v>143371.356</v>
      </c>
      <c r="Q39" s="13">
        <v>64.375</v>
      </c>
      <c r="R39" s="14">
        <f t="shared" si="1"/>
        <v>39.825376666666664</v>
      </c>
      <c r="S39" s="18">
        <f t="shared" si="2"/>
        <v>1.3988801571180167</v>
      </c>
      <c r="T39" s="18">
        <f t="shared" si="2"/>
        <v>1.0822783746070173</v>
      </c>
      <c r="U39" s="59"/>
      <c r="V39" s="41">
        <f>bdrate($D39:$D42,E39:E42,$L39:$L42,M39:M42)</f>
        <v>-1.0163597105426803E-2</v>
      </c>
      <c r="W39" s="46">
        <f>bdrate($D39:$D42,F39:F42,$L39:$L42,N39:N42)</f>
        <v>-2.375152038072148E-4</v>
      </c>
      <c r="X39" s="46">
        <f>bdrate($D39:$D42,G39:G42,$L39:$L42,O39:O42)</f>
        <v>3.1850099397481291E-3</v>
      </c>
      <c r="Y39" s="44">
        <f>bdrateOld($D39:$D42,E39:E42,$L39:$L42,M39:M42)</f>
        <v>-1.0137385998597037E-2</v>
      </c>
      <c r="Z39" s="48">
        <f>bdrateOld($D39:$D42,F39:F42,$L39:$L42,N39:N42)</f>
        <v>-2.8894151496872134E-4</v>
      </c>
      <c r="AA39" s="49">
        <f>bdrateOld($D39:$D42,G39:G42,$L39:$L42,O39:O42)</f>
        <v>3.0763002122700112E-3</v>
      </c>
    </row>
    <row r="40" spans="1:27">
      <c r="A40" s="16"/>
      <c r="B40" s="16"/>
      <c r="C40" s="16">
        <v>27</v>
      </c>
      <c r="D40" s="17">
        <v>5520.1343999999999</v>
      </c>
      <c r="E40" s="18">
        <v>37.635300000000001</v>
      </c>
      <c r="F40" s="18">
        <v>43.038699999999999</v>
      </c>
      <c r="G40" s="18">
        <v>43.699100000000001</v>
      </c>
      <c r="H40" s="18">
        <v>70520.634999999995</v>
      </c>
      <c r="I40" s="18">
        <v>45.066000000000003</v>
      </c>
      <c r="J40" s="19">
        <f t="shared" si="0"/>
        <v>19.589065277777777</v>
      </c>
      <c r="L40" s="17">
        <v>5548.8552</v>
      </c>
      <c r="M40" s="18">
        <v>37.666600000000003</v>
      </c>
      <c r="N40" s="18">
        <v>43.045299999999997</v>
      </c>
      <c r="O40" s="18">
        <v>43.6995</v>
      </c>
      <c r="P40" s="18">
        <v>94720.244999999995</v>
      </c>
      <c r="Q40" s="18">
        <v>46.154000000000003</v>
      </c>
      <c r="R40" s="19">
        <f t="shared" si="1"/>
        <v>26.311179166666665</v>
      </c>
      <c r="S40" s="18">
        <f t="shared" si="2"/>
        <v>1.3431564392464703</v>
      </c>
      <c r="T40" s="18">
        <f t="shared" si="2"/>
        <v>1.0241423689699551</v>
      </c>
      <c r="U40" s="59"/>
      <c r="V40" s="42"/>
      <c r="W40" s="25"/>
      <c r="X40" s="25"/>
      <c r="Y40" s="42"/>
      <c r="Z40" s="25"/>
      <c r="AA40" s="54"/>
    </row>
    <row r="41" spans="1:27">
      <c r="A41" s="16"/>
      <c r="B41" s="16"/>
      <c r="C41" s="16">
        <v>32</v>
      </c>
      <c r="D41" s="17">
        <v>2611.1343999999999</v>
      </c>
      <c r="E41" s="18">
        <v>35.892899999999997</v>
      </c>
      <c r="F41" s="18">
        <v>41.957599999999999</v>
      </c>
      <c r="G41" s="18">
        <v>42.152500000000003</v>
      </c>
      <c r="H41" s="18">
        <v>54412.767999999996</v>
      </c>
      <c r="I41" s="18">
        <v>35.590000000000003</v>
      </c>
      <c r="J41" s="19">
        <f t="shared" si="0"/>
        <v>15.114657777777778</v>
      </c>
      <c r="L41" s="17">
        <v>2620.3896</v>
      </c>
      <c r="M41" s="18">
        <v>35.926600000000001</v>
      </c>
      <c r="N41" s="18">
        <v>41.960799999999999</v>
      </c>
      <c r="O41" s="18">
        <v>42.149099999999997</v>
      </c>
      <c r="P41" s="18">
        <v>70838.593999999997</v>
      </c>
      <c r="Q41" s="18">
        <v>35.923000000000002</v>
      </c>
      <c r="R41" s="19">
        <f t="shared" si="1"/>
        <v>19.677387222222222</v>
      </c>
      <c r="S41" s="18">
        <f t="shared" si="2"/>
        <v>1.3018744791663603</v>
      </c>
      <c r="T41" s="18">
        <f t="shared" si="2"/>
        <v>1.0093565608316943</v>
      </c>
      <c r="U41" s="59"/>
      <c r="V41" s="42"/>
      <c r="W41" s="25"/>
      <c r="X41" s="25"/>
      <c r="Y41" s="42"/>
      <c r="Z41" s="25"/>
      <c r="AA41" s="54"/>
    </row>
    <row r="42" spans="1:27" ht="12.75" thickBot="1">
      <c r="A42" s="16"/>
      <c r="B42" s="21"/>
      <c r="C42" s="21">
        <v>37</v>
      </c>
      <c r="D42" s="22">
        <v>1320.6584</v>
      </c>
      <c r="E42" s="23">
        <v>33.880800000000001</v>
      </c>
      <c r="F42" s="23">
        <v>40.890799999999999</v>
      </c>
      <c r="G42" s="23">
        <v>40.6265</v>
      </c>
      <c r="H42" s="23">
        <v>41279.686000000002</v>
      </c>
      <c r="I42" s="23">
        <v>30.184999999999999</v>
      </c>
      <c r="J42" s="24">
        <f t="shared" si="0"/>
        <v>11.466579444444445</v>
      </c>
      <c r="L42" s="22">
        <v>1325.8407999999999</v>
      </c>
      <c r="M42" s="23">
        <v>33.911999999999999</v>
      </c>
      <c r="N42" s="23">
        <v>40.893700000000003</v>
      </c>
      <c r="O42" s="23">
        <v>40.632899999999999</v>
      </c>
      <c r="P42" s="23">
        <v>53298.457999999999</v>
      </c>
      <c r="Q42" s="23">
        <v>32.790999999999997</v>
      </c>
      <c r="R42" s="24">
        <f t="shared" si="1"/>
        <v>14.805127222222222</v>
      </c>
      <c r="S42" s="18">
        <f t="shared" si="2"/>
        <v>1.2911546371743234</v>
      </c>
      <c r="T42" s="18">
        <f t="shared" si="2"/>
        <v>1.0863342719893987</v>
      </c>
      <c r="U42" s="59"/>
      <c r="V42" s="43"/>
      <c r="W42" s="55"/>
      <c r="X42" s="55"/>
      <c r="Y42" s="43"/>
      <c r="Z42" s="55"/>
      <c r="AA42" s="56"/>
    </row>
    <row r="43" spans="1:27">
      <c r="A43" s="16"/>
      <c r="B43" s="11" t="s">
        <v>4</v>
      </c>
      <c r="C43" s="11">
        <v>22</v>
      </c>
      <c r="D43" s="12">
        <v>36349.082399999999</v>
      </c>
      <c r="E43" s="13">
        <v>37.323500000000003</v>
      </c>
      <c r="F43" s="13">
        <v>42.393500000000003</v>
      </c>
      <c r="G43" s="13">
        <v>44.732300000000002</v>
      </c>
      <c r="H43" s="13">
        <v>94026.744000000006</v>
      </c>
      <c r="I43" s="13">
        <v>110.605</v>
      </c>
      <c r="J43" s="14">
        <f t="shared" si="0"/>
        <v>26.118540000000003</v>
      </c>
      <c r="L43" s="12">
        <v>36965.142399999997</v>
      </c>
      <c r="M43" s="13">
        <v>37.389299999999999</v>
      </c>
      <c r="N43" s="13">
        <v>42.404600000000002</v>
      </c>
      <c r="O43" s="13">
        <v>44.7468</v>
      </c>
      <c r="P43" s="13">
        <v>152167.851</v>
      </c>
      <c r="Q43" s="13">
        <v>105.754</v>
      </c>
      <c r="R43" s="14">
        <f t="shared" si="1"/>
        <v>42.2688475</v>
      </c>
      <c r="S43" s="18">
        <f t="shared" si="2"/>
        <v>1.6183464887394163</v>
      </c>
      <c r="T43" s="18">
        <f t="shared" si="2"/>
        <v>0.95614122327200401</v>
      </c>
      <c r="U43" s="59"/>
      <c r="V43" s="41">
        <f>bdrate($D43:$D46,E43:E46,$L43:$L46,M43:M46)</f>
        <v>-2.556591113914608E-2</v>
      </c>
      <c r="W43" s="46">
        <f>bdrate($D43:$D46,F43:F46,$L43:$L46,N43:N46)</f>
        <v>-9.0162370671322822E-3</v>
      </c>
      <c r="X43" s="46">
        <f>bdrate($D43:$D46,G43:G46,$L43:$L46,O43:O46)</f>
        <v>-1.1602650209235676E-2</v>
      </c>
      <c r="Y43" s="44">
        <f>bdrateOld($D43:$D46,E43:E46,$L43:$L46,M43:M46)</f>
        <v>-2.4045093129834605E-2</v>
      </c>
      <c r="Z43" s="48">
        <f>bdrateOld($D43:$D46,F43:F46,$L43:$L46,N43:N46)</f>
        <v>-8.4782209248703833E-3</v>
      </c>
      <c r="AA43" s="49">
        <f>bdrateOld($D43:$D46,G43:G46,$L43:$L46,O43:O46)</f>
        <v>-1.1571461674829475E-2</v>
      </c>
    </row>
    <row r="44" spans="1:27">
      <c r="A44" s="16"/>
      <c r="B44" s="16"/>
      <c r="C44" s="16">
        <v>27</v>
      </c>
      <c r="D44" s="17">
        <v>7828.9168</v>
      </c>
      <c r="E44" s="18">
        <v>35.317500000000003</v>
      </c>
      <c r="F44" s="18">
        <v>41.409599999999998</v>
      </c>
      <c r="G44" s="18">
        <v>43.780200000000001</v>
      </c>
      <c r="H44" s="18">
        <v>37207.269999999997</v>
      </c>
      <c r="I44" s="18">
        <v>52.704999999999998</v>
      </c>
      <c r="J44" s="19">
        <f t="shared" si="0"/>
        <v>10.335352777777777</v>
      </c>
      <c r="L44" s="17">
        <v>7893.3519999999999</v>
      </c>
      <c r="M44" s="18">
        <v>35.357799999999997</v>
      </c>
      <c r="N44" s="18">
        <v>41.428800000000003</v>
      </c>
      <c r="O44" s="18">
        <v>43.799599999999998</v>
      </c>
      <c r="P44" s="18">
        <v>57913.375</v>
      </c>
      <c r="Q44" s="18">
        <v>53.284999999999997</v>
      </c>
      <c r="R44" s="19">
        <f t="shared" si="1"/>
        <v>16.087048611111111</v>
      </c>
      <c r="S44" s="18">
        <f t="shared" si="2"/>
        <v>1.5565069675899361</v>
      </c>
      <c r="T44" s="18">
        <f t="shared" si="2"/>
        <v>1.011004648515321</v>
      </c>
      <c r="U44" s="59"/>
      <c r="V44" s="42"/>
      <c r="W44" s="25"/>
      <c r="X44" s="25"/>
      <c r="Y44" s="42"/>
      <c r="Z44" s="25"/>
      <c r="AA44" s="54"/>
    </row>
    <row r="45" spans="1:27">
      <c r="A45" s="16"/>
      <c r="B45" s="16"/>
      <c r="C45" s="16">
        <v>32</v>
      </c>
      <c r="D45" s="17">
        <v>2685.6680000000001</v>
      </c>
      <c r="E45" s="18">
        <v>34.099499999999999</v>
      </c>
      <c r="F45" s="18">
        <v>40.220500000000001</v>
      </c>
      <c r="G45" s="18">
        <v>42.675400000000003</v>
      </c>
      <c r="H45" s="18">
        <v>20575.755000000001</v>
      </c>
      <c r="I45" s="18">
        <v>36.643999999999998</v>
      </c>
      <c r="J45" s="19">
        <f t="shared" si="0"/>
        <v>5.7154875000000001</v>
      </c>
      <c r="L45" s="17">
        <v>2689.3272000000002</v>
      </c>
      <c r="M45" s="18">
        <v>34.142600000000002</v>
      </c>
      <c r="N45" s="18">
        <v>40.234900000000003</v>
      </c>
      <c r="O45" s="18">
        <v>42.687199999999997</v>
      </c>
      <c r="P45" s="18">
        <v>30157.977999999999</v>
      </c>
      <c r="Q45" s="18">
        <v>41.79</v>
      </c>
      <c r="R45" s="19">
        <f t="shared" si="1"/>
        <v>8.3772161111111103</v>
      </c>
      <c r="S45" s="18">
        <f t="shared" si="2"/>
        <v>1.4657045634534431</v>
      </c>
      <c r="T45" s="18">
        <f t="shared" si="2"/>
        <v>1.1404322672197358</v>
      </c>
      <c r="U45" s="59"/>
      <c r="V45" s="42"/>
      <c r="W45" s="25"/>
      <c r="X45" s="25"/>
      <c r="Y45" s="42"/>
      <c r="Z45" s="25"/>
      <c r="AA45" s="54"/>
    </row>
    <row r="46" spans="1:27" ht="12.75" thickBot="1">
      <c r="A46" s="21"/>
      <c r="B46" s="21"/>
      <c r="C46" s="21">
        <v>37</v>
      </c>
      <c r="D46" s="22">
        <v>1288.184</v>
      </c>
      <c r="E46" s="23">
        <v>32.581099999999999</v>
      </c>
      <c r="F46" s="23">
        <v>39.067900000000002</v>
      </c>
      <c r="G46" s="23">
        <v>41.6036</v>
      </c>
      <c r="H46" s="23">
        <v>13455.121999999999</v>
      </c>
      <c r="I46" s="23">
        <v>30.396000000000001</v>
      </c>
      <c r="J46" s="24">
        <f t="shared" si="0"/>
        <v>3.7375338888888887</v>
      </c>
      <c r="L46" s="22">
        <v>1286.0424</v>
      </c>
      <c r="M46" s="23">
        <v>32.630499999999998</v>
      </c>
      <c r="N46" s="23">
        <v>39.056199999999997</v>
      </c>
      <c r="O46" s="23">
        <v>41.617600000000003</v>
      </c>
      <c r="P46" s="23">
        <v>19080.718000000001</v>
      </c>
      <c r="Q46" s="23">
        <v>28.876999999999999</v>
      </c>
      <c r="R46" s="24">
        <f t="shared" si="1"/>
        <v>5.3001994444444449</v>
      </c>
      <c r="S46" s="18">
        <f t="shared" si="2"/>
        <v>1.4181007054413926</v>
      </c>
      <c r="T46" s="18">
        <f t="shared" si="2"/>
        <v>0.95002631925253311</v>
      </c>
      <c r="U46" s="59"/>
      <c r="V46" s="43"/>
      <c r="W46" s="55"/>
      <c r="X46" s="55"/>
      <c r="Y46" s="43"/>
      <c r="Z46" s="55"/>
      <c r="AA46" s="56"/>
    </row>
    <row r="47" spans="1:27">
      <c r="A47" s="11" t="s">
        <v>5</v>
      </c>
      <c r="B47" s="11" t="s">
        <v>53</v>
      </c>
      <c r="C47" s="11">
        <v>22</v>
      </c>
      <c r="D47" s="12">
        <v>3442.0551999999998</v>
      </c>
      <c r="E47" s="13">
        <v>41.135599999999997</v>
      </c>
      <c r="F47" s="13">
        <v>43.676499999999997</v>
      </c>
      <c r="G47" s="13">
        <v>44.3262</v>
      </c>
      <c r="H47" s="13">
        <v>17140.545999999998</v>
      </c>
      <c r="I47" s="13">
        <v>11.157</v>
      </c>
      <c r="J47" s="14">
        <f t="shared" si="0"/>
        <v>4.7612627777777776</v>
      </c>
      <c r="K47" s="26"/>
      <c r="L47" s="12">
        <v>3459.96</v>
      </c>
      <c r="M47" s="13">
        <v>41.1995</v>
      </c>
      <c r="N47" s="13">
        <v>43.669400000000003</v>
      </c>
      <c r="O47" s="13">
        <v>44.330399999999997</v>
      </c>
      <c r="P47" s="13">
        <v>24059.501</v>
      </c>
      <c r="Q47" s="13">
        <v>11.494</v>
      </c>
      <c r="R47" s="14">
        <f t="shared" si="1"/>
        <v>6.6831947222222219</v>
      </c>
      <c r="S47" s="13">
        <f t="shared" ref="S47:T70" si="5">P47/H47</f>
        <v>1.4036601284463168</v>
      </c>
      <c r="T47" s="13">
        <f t="shared" si="5"/>
        <v>1.0302052523079681</v>
      </c>
      <c r="U47" s="88"/>
      <c r="V47" s="91">
        <f>bdrate($D47:$D50,E47:E50,$L47:$L50,M47:M50)</f>
        <v>-7.1291606181169698E-3</v>
      </c>
      <c r="W47" s="92">
        <f>bdrate($D47:$D50,F47:F50,$L47:$L50,N47:N50)</f>
        <v>4.5542199231465297E-3</v>
      </c>
      <c r="X47" s="93">
        <f>bdrate($D47:$D50,G47:G50,$L47:$L50,O47:O50)</f>
        <v>1.7469764747517491E-3</v>
      </c>
      <c r="Y47" s="41">
        <f>bdrateOld($D47:$D50,E47:E50,$L47:$L50,M47:M50)</f>
        <v>-7.1359606143417409E-3</v>
      </c>
      <c r="Z47" s="46">
        <f>bdrateOld($D47:$D50,F47:F50,$L47:$L50,N47:N50)</f>
        <v>4.2595331207373466E-3</v>
      </c>
      <c r="AA47" s="47">
        <f>bdrateOld($D47:$D50,G47:G50,$L47:$L50,O47:O50)</f>
        <v>1.5309890935353287E-3</v>
      </c>
    </row>
    <row r="48" spans="1:27">
      <c r="A48" s="16" t="s">
        <v>48</v>
      </c>
      <c r="B48" s="16"/>
      <c r="C48" s="16">
        <v>27</v>
      </c>
      <c r="D48" s="17">
        <v>1618.6407999999999</v>
      </c>
      <c r="E48" s="18">
        <v>37.900799999999997</v>
      </c>
      <c r="F48" s="18">
        <v>41.501300000000001</v>
      </c>
      <c r="G48" s="18">
        <v>41.732100000000003</v>
      </c>
      <c r="H48" s="18">
        <v>12014.040999999999</v>
      </c>
      <c r="I48" s="18">
        <v>7.6539999999999999</v>
      </c>
      <c r="J48" s="19">
        <f t="shared" si="0"/>
        <v>3.3372336111111109</v>
      </c>
      <c r="K48" s="26"/>
      <c r="L48" s="17">
        <v>1625.7664</v>
      </c>
      <c r="M48" s="18">
        <v>37.953800000000001</v>
      </c>
      <c r="N48" s="18">
        <v>41.515000000000001</v>
      </c>
      <c r="O48" s="18">
        <v>41.749000000000002</v>
      </c>
      <c r="P48" s="18">
        <v>17267.742999999999</v>
      </c>
      <c r="Q48" s="18">
        <v>8.5399999999999991</v>
      </c>
      <c r="R48" s="19">
        <f t="shared" si="1"/>
        <v>4.7965952777777776</v>
      </c>
      <c r="S48" s="18">
        <f t="shared" si="5"/>
        <v>1.4372968262718597</v>
      </c>
      <c r="T48" s="18">
        <f t="shared" si="5"/>
        <v>1.1157564672066893</v>
      </c>
      <c r="U48" s="89"/>
      <c r="V48" s="94"/>
      <c r="W48" s="95"/>
      <c r="X48" s="96"/>
      <c r="Y48" s="42"/>
      <c r="Z48" s="25"/>
      <c r="AA48" s="54"/>
    </row>
    <row r="49" spans="1:27">
      <c r="A49" s="16"/>
      <c r="B49" s="16"/>
      <c r="C49" s="16">
        <v>32</v>
      </c>
      <c r="D49" s="17">
        <v>816.61040000000003</v>
      </c>
      <c r="E49" s="18">
        <v>34.951799999999999</v>
      </c>
      <c r="F49" s="18">
        <v>39.4482</v>
      </c>
      <c r="G49" s="18">
        <v>39.452599999999997</v>
      </c>
      <c r="H49" s="18">
        <v>9067.3330000000005</v>
      </c>
      <c r="I49" s="18">
        <v>6.5990000000000002</v>
      </c>
      <c r="J49" s="19">
        <f t="shared" si="0"/>
        <v>2.5187036111111114</v>
      </c>
      <c r="K49" s="26"/>
      <c r="L49" s="17">
        <v>820.97119999999995</v>
      </c>
      <c r="M49" s="18">
        <v>34.998600000000003</v>
      </c>
      <c r="N49" s="18">
        <v>39.4328</v>
      </c>
      <c r="O49" s="18">
        <v>39.454900000000002</v>
      </c>
      <c r="P49" s="18">
        <v>12565.852000000001</v>
      </c>
      <c r="Q49" s="18">
        <v>6.3109999999999999</v>
      </c>
      <c r="R49" s="19">
        <f t="shared" si="1"/>
        <v>3.4905144444444445</v>
      </c>
      <c r="S49" s="18">
        <f t="shared" si="5"/>
        <v>1.3858377099418318</v>
      </c>
      <c r="T49" s="18">
        <f t="shared" si="5"/>
        <v>0.95635702379148357</v>
      </c>
      <c r="U49" s="89"/>
      <c r="V49" s="94"/>
      <c r="W49" s="95"/>
      <c r="X49" s="96"/>
      <c r="Y49" s="42"/>
      <c r="Z49" s="25"/>
      <c r="AA49" s="54"/>
    </row>
    <row r="50" spans="1:27" ht="12.75" thickBot="1">
      <c r="A50" s="16"/>
      <c r="B50" s="21"/>
      <c r="C50" s="21">
        <v>37</v>
      </c>
      <c r="D50" s="22">
        <v>418.81200000000001</v>
      </c>
      <c r="E50" s="23">
        <v>32.312800000000003</v>
      </c>
      <c r="F50" s="23">
        <v>37.6629</v>
      </c>
      <c r="G50" s="23">
        <v>37.4696</v>
      </c>
      <c r="H50" s="23">
        <v>6369.1809999999996</v>
      </c>
      <c r="I50" s="23">
        <v>5.0460000000000003</v>
      </c>
      <c r="J50" s="24">
        <f t="shared" si="0"/>
        <v>1.7692169444444443</v>
      </c>
      <c r="K50" s="26"/>
      <c r="L50" s="22">
        <v>420.20400000000001</v>
      </c>
      <c r="M50" s="23">
        <v>32.344700000000003</v>
      </c>
      <c r="N50" s="23">
        <v>37.674799999999998</v>
      </c>
      <c r="O50" s="23">
        <v>37.482100000000003</v>
      </c>
      <c r="P50" s="23">
        <v>8971.1980000000003</v>
      </c>
      <c r="Q50" s="23">
        <v>4.8529999999999998</v>
      </c>
      <c r="R50" s="24">
        <f t="shared" si="1"/>
        <v>2.4919994444444447</v>
      </c>
      <c r="S50" s="18">
        <f t="shared" si="5"/>
        <v>1.4085324314068011</v>
      </c>
      <c r="T50" s="18">
        <f t="shared" si="5"/>
        <v>0.96175188267934986</v>
      </c>
      <c r="U50" s="89"/>
      <c r="V50" s="97"/>
      <c r="W50" s="98"/>
      <c r="X50" s="99"/>
      <c r="Y50" s="43"/>
      <c r="Z50" s="55"/>
      <c r="AA50" s="56"/>
    </row>
    <row r="51" spans="1:27">
      <c r="A51" s="16"/>
      <c r="B51" s="11" t="s">
        <v>37</v>
      </c>
      <c r="C51" s="11">
        <v>22</v>
      </c>
      <c r="D51" s="12">
        <v>3507.576</v>
      </c>
      <c r="E51" s="13">
        <v>40.413499999999999</v>
      </c>
      <c r="F51" s="13">
        <v>44.187800000000003</v>
      </c>
      <c r="G51" s="13">
        <v>45.930300000000003</v>
      </c>
      <c r="H51" s="13">
        <v>14464.415999999999</v>
      </c>
      <c r="I51" s="13">
        <v>11.24</v>
      </c>
      <c r="J51" s="14">
        <f t="shared" si="0"/>
        <v>4.0178933333333333</v>
      </c>
      <c r="K51" s="26"/>
      <c r="L51" s="12">
        <v>3532.5128</v>
      </c>
      <c r="M51" s="13">
        <v>40.472000000000001</v>
      </c>
      <c r="N51" s="13">
        <v>44.194200000000002</v>
      </c>
      <c r="O51" s="13">
        <v>45.9422</v>
      </c>
      <c r="P51" s="13">
        <v>21953.74</v>
      </c>
      <c r="Q51" s="13">
        <v>12.339</v>
      </c>
      <c r="R51" s="14">
        <f t="shared" si="1"/>
        <v>6.0982611111111114</v>
      </c>
      <c r="S51" s="18">
        <f t="shared" si="5"/>
        <v>1.5177757608741342</v>
      </c>
      <c r="T51" s="18">
        <f t="shared" si="5"/>
        <v>1.0977758007117437</v>
      </c>
      <c r="U51" s="89"/>
      <c r="V51" s="91">
        <f>bdrate($D51:$D54,E51:E54,$L51:$L54,M51:M54)</f>
        <v>-1.1613739901619291E-2</v>
      </c>
      <c r="W51" s="92">
        <f>bdrate($D51:$D54,F51:F54,$L51:$L54,N51:N54)</f>
        <v>-4.6945275634990846E-3</v>
      </c>
      <c r="X51" s="92">
        <f>bdrate($D51:$D54,G51:G54,$L51:$L54,O51:O54)</f>
        <v>-3.5962049569827625E-3</v>
      </c>
      <c r="Y51" s="44">
        <f>bdrateOld($D51:$D54,E51:E54,$L51:$L54,M51:M54)</f>
        <v>-1.1585444300426517E-2</v>
      </c>
      <c r="Z51" s="48">
        <f>bdrateOld($D51:$D54,F51:F54,$L51:$L54,N51:N54)</f>
        <v>-4.6809272674245284E-3</v>
      </c>
      <c r="AA51" s="49">
        <f>bdrateOld($D51:$D54,G51:G54,$L51:$L54,O51:O54)</f>
        <v>-3.7013962377888676E-3</v>
      </c>
    </row>
    <row r="52" spans="1:27">
      <c r="A52" s="16"/>
      <c r="B52" s="16"/>
      <c r="C52" s="16">
        <v>27</v>
      </c>
      <c r="D52" s="17">
        <v>1640.8848</v>
      </c>
      <c r="E52" s="18">
        <v>37.980800000000002</v>
      </c>
      <c r="F52" s="18">
        <v>42.574300000000001</v>
      </c>
      <c r="G52" s="18">
        <v>43.850900000000003</v>
      </c>
      <c r="H52" s="18">
        <v>10304.563</v>
      </c>
      <c r="I52" s="18">
        <v>8.2520000000000007</v>
      </c>
      <c r="J52" s="19">
        <f t="shared" si="0"/>
        <v>2.8623786111111111</v>
      </c>
      <c r="K52" s="26"/>
      <c r="L52" s="17">
        <v>1645.8191999999999</v>
      </c>
      <c r="M52" s="18">
        <v>38.039000000000001</v>
      </c>
      <c r="N52" s="18">
        <v>42.5886</v>
      </c>
      <c r="O52" s="18">
        <v>43.860799999999998</v>
      </c>
      <c r="P52" s="18">
        <v>14576.081</v>
      </c>
      <c r="Q52" s="18">
        <v>8.3740000000000006</v>
      </c>
      <c r="R52" s="19">
        <f t="shared" si="1"/>
        <v>4.0489113888888886</v>
      </c>
      <c r="S52" s="18">
        <f t="shared" si="5"/>
        <v>1.4145268460195741</v>
      </c>
      <c r="T52" s="18">
        <f t="shared" si="5"/>
        <v>1.0147842947164323</v>
      </c>
      <c r="U52" s="89"/>
      <c r="V52" s="94"/>
      <c r="W52" s="95"/>
      <c r="X52" s="95"/>
      <c r="Y52" s="42"/>
      <c r="Z52" s="25"/>
      <c r="AA52" s="54"/>
    </row>
    <row r="53" spans="1:27">
      <c r="A53" s="16"/>
      <c r="B53" s="16"/>
      <c r="C53" s="16">
        <v>32</v>
      </c>
      <c r="D53" s="17">
        <v>849.80640000000005</v>
      </c>
      <c r="E53" s="18">
        <v>35.374600000000001</v>
      </c>
      <c r="F53" s="18">
        <v>40.786499999999997</v>
      </c>
      <c r="G53" s="18">
        <v>41.765599999999999</v>
      </c>
      <c r="H53" s="18">
        <v>7841.54</v>
      </c>
      <c r="I53" s="18">
        <v>6.9829999999999997</v>
      </c>
      <c r="J53" s="19">
        <f t="shared" si="0"/>
        <v>2.1782055555555555</v>
      </c>
      <c r="K53" s="26"/>
      <c r="L53" s="17">
        <v>850.36</v>
      </c>
      <c r="M53" s="18">
        <v>35.420099999999998</v>
      </c>
      <c r="N53" s="18">
        <v>40.807400000000001</v>
      </c>
      <c r="O53" s="18">
        <v>41.7849</v>
      </c>
      <c r="P53" s="18">
        <v>10561.14</v>
      </c>
      <c r="Q53" s="18">
        <v>6.4809999999999999</v>
      </c>
      <c r="R53" s="19">
        <f t="shared" si="1"/>
        <v>2.9336499999999996</v>
      </c>
      <c r="S53" s="18">
        <f t="shared" si="5"/>
        <v>1.3468196298176123</v>
      </c>
      <c r="T53" s="18">
        <f t="shared" si="5"/>
        <v>0.92811112702276966</v>
      </c>
      <c r="U53" s="89"/>
      <c r="V53" s="94"/>
      <c r="W53" s="95"/>
      <c r="X53" s="95"/>
      <c r="Y53" s="42"/>
      <c r="Z53" s="25"/>
      <c r="AA53" s="54"/>
    </row>
    <row r="54" spans="1:27" ht="12.75" thickBot="1">
      <c r="A54" s="16"/>
      <c r="B54" s="21"/>
      <c r="C54" s="21">
        <v>37</v>
      </c>
      <c r="D54" s="22">
        <v>445.23039999999997</v>
      </c>
      <c r="E54" s="23">
        <v>32.656500000000001</v>
      </c>
      <c r="F54" s="23">
        <v>39.218400000000003</v>
      </c>
      <c r="G54" s="23">
        <v>40.038499999999999</v>
      </c>
      <c r="H54" s="23">
        <v>5601.8689999999997</v>
      </c>
      <c r="I54" s="23">
        <v>5.2949999999999999</v>
      </c>
      <c r="J54" s="24">
        <f t="shared" si="0"/>
        <v>1.5560747222222222</v>
      </c>
      <c r="K54" s="26"/>
      <c r="L54" s="22">
        <v>445.37040000000002</v>
      </c>
      <c r="M54" s="23">
        <v>32.701000000000001</v>
      </c>
      <c r="N54" s="23">
        <v>39.244399999999999</v>
      </c>
      <c r="O54" s="23">
        <v>40.08</v>
      </c>
      <c r="P54" s="23">
        <v>7763.4390000000003</v>
      </c>
      <c r="Q54" s="23">
        <v>5.194</v>
      </c>
      <c r="R54" s="24">
        <f t="shared" si="1"/>
        <v>2.1565108333333334</v>
      </c>
      <c r="S54" s="18">
        <f t="shared" si="5"/>
        <v>1.3858658601263258</v>
      </c>
      <c r="T54" s="18">
        <f t="shared" si="5"/>
        <v>0.9809254013220019</v>
      </c>
      <c r="U54" s="89"/>
      <c r="V54" s="97"/>
      <c r="W54" s="98"/>
      <c r="X54" s="98"/>
      <c r="Y54" s="43"/>
      <c r="Z54" s="55"/>
      <c r="AA54" s="56"/>
    </row>
    <row r="55" spans="1:27">
      <c r="A55" s="16"/>
      <c r="B55" s="11" t="s">
        <v>54</v>
      </c>
      <c r="C55" s="11">
        <v>22</v>
      </c>
      <c r="D55" s="12">
        <v>6587.3119999999999</v>
      </c>
      <c r="E55" s="13">
        <v>38.555300000000003</v>
      </c>
      <c r="F55" s="13">
        <v>42.039700000000003</v>
      </c>
      <c r="G55" s="13">
        <v>43.285699999999999</v>
      </c>
      <c r="H55" s="13">
        <v>16628.881000000001</v>
      </c>
      <c r="I55" s="13">
        <v>14.521000000000001</v>
      </c>
      <c r="J55" s="14">
        <f t="shared" si="0"/>
        <v>4.6191336111111116</v>
      </c>
      <c r="K55" s="26"/>
      <c r="L55" s="12">
        <v>6636.3432000000003</v>
      </c>
      <c r="M55" s="13">
        <v>38.643300000000004</v>
      </c>
      <c r="N55" s="13">
        <v>42.051299999999998</v>
      </c>
      <c r="O55" s="13">
        <v>43.297800000000002</v>
      </c>
      <c r="P55" s="13">
        <v>25256.653999999999</v>
      </c>
      <c r="Q55" s="13">
        <v>14.554</v>
      </c>
      <c r="R55" s="14">
        <f t="shared" si="1"/>
        <v>7.0157372222222216</v>
      </c>
      <c r="S55" s="18">
        <f t="shared" si="5"/>
        <v>1.518842668968525</v>
      </c>
      <c r="T55" s="18">
        <f t="shared" si="5"/>
        <v>1.0022725707595894</v>
      </c>
      <c r="U55" s="89"/>
      <c r="V55" s="91">
        <f>bdrate($D55:$D58,E55:E58,$L55:$L58,M55:M58)</f>
        <v>-1.0372811829222117E-2</v>
      </c>
      <c r="W55" s="92">
        <f>bdrate($D55:$D58,F55:F58,$L55:$L58,N55:N58)</f>
        <v>4.4858095076876214E-3</v>
      </c>
      <c r="X55" s="92">
        <f>bdrate($D55:$D58,G55:G58,$L55:$L58,O55:O58)</f>
        <v>4.9745127786435805E-3</v>
      </c>
      <c r="Y55" s="44">
        <f>bdrateOld($D55:$D58,E55:E58,$L55:$L58,M55:M58)</f>
        <v>-1.037981695058865E-2</v>
      </c>
      <c r="Z55" s="48">
        <f>bdrateOld($D55:$D58,F55:F58,$L55:$L58,N55:N58)</f>
        <v>4.4846442785462237E-3</v>
      </c>
      <c r="AA55" s="49">
        <f>bdrateOld($D55:$D58,G55:G58,$L55:$L58,O55:O58)</f>
        <v>4.9162082778462235E-3</v>
      </c>
    </row>
    <row r="56" spans="1:27">
      <c r="A56" s="16"/>
      <c r="B56" s="16"/>
      <c r="C56" s="16">
        <v>27</v>
      </c>
      <c r="D56" s="17">
        <v>3018.8672000000001</v>
      </c>
      <c r="E56" s="18">
        <v>35.0837</v>
      </c>
      <c r="F56" s="18">
        <v>39.831400000000002</v>
      </c>
      <c r="G56" s="18">
        <v>40.910600000000002</v>
      </c>
      <c r="H56" s="18">
        <v>10925.263999999999</v>
      </c>
      <c r="I56" s="18">
        <v>9.5760000000000005</v>
      </c>
      <c r="J56" s="19">
        <f t="shared" si="0"/>
        <v>3.0347955555555552</v>
      </c>
      <c r="K56" s="26"/>
      <c r="L56" s="17">
        <v>3033.8584000000001</v>
      </c>
      <c r="M56" s="18">
        <v>35.152000000000001</v>
      </c>
      <c r="N56" s="18">
        <v>39.826999999999998</v>
      </c>
      <c r="O56" s="18">
        <v>40.912199999999999</v>
      </c>
      <c r="P56" s="18">
        <v>16262.701999999999</v>
      </c>
      <c r="Q56" s="18">
        <v>9.8320000000000007</v>
      </c>
      <c r="R56" s="19">
        <f t="shared" si="1"/>
        <v>4.517417222222222</v>
      </c>
      <c r="S56" s="18">
        <f t="shared" si="5"/>
        <v>1.4885408718727529</v>
      </c>
      <c r="T56" s="18">
        <f t="shared" si="5"/>
        <v>1.0267335004177109</v>
      </c>
      <c r="U56" s="89"/>
      <c r="V56" s="94"/>
      <c r="W56" s="95"/>
      <c r="X56" s="95"/>
      <c r="Y56" s="42"/>
      <c r="Z56" s="25"/>
      <c r="AA56" s="54"/>
    </row>
    <row r="57" spans="1:27">
      <c r="A57" s="16"/>
      <c r="B57" s="16"/>
      <c r="C57" s="16">
        <v>32</v>
      </c>
      <c r="D57" s="17">
        <v>1505.4487999999999</v>
      </c>
      <c r="E57" s="18">
        <v>32.105899999999998</v>
      </c>
      <c r="F57" s="18">
        <v>37.7759</v>
      </c>
      <c r="G57" s="18">
        <v>38.656700000000001</v>
      </c>
      <c r="H57" s="18">
        <v>8093.2370000000001</v>
      </c>
      <c r="I57" s="18">
        <v>6.96</v>
      </c>
      <c r="J57" s="19">
        <f t="shared" si="0"/>
        <v>2.2481213888888889</v>
      </c>
      <c r="K57" s="26"/>
      <c r="L57" s="17">
        <v>1511.4495999999999</v>
      </c>
      <c r="M57" s="18">
        <v>32.162799999999997</v>
      </c>
      <c r="N57" s="18">
        <v>37.778799999999997</v>
      </c>
      <c r="O57" s="18">
        <v>38.651800000000001</v>
      </c>
      <c r="P57" s="18">
        <v>11751.843000000001</v>
      </c>
      <c r="Q57" s="18">
        <v>7.2530000000000001</v>
      </c>
      <c r="R57" s="19">
        <f t="shared" si="1"/>
        <v>3.2644008333333336</v>
      </c>
      <c r="S57" s="18">
        <f t="shared" si="5"/>
        <v>1.4520571929377579</v>
      </c>
      <c r="T57" s="18">
        <f t="shared" si="5"/>
        <v>1.0420977011494252</v>
      </c>
      <c r="U57" s="89"/>
      <c r="V57" s="94"/>
      <c r="W57" s="95"/>
      <c r="X57" s="95"/>
      <c r="Y57" s="42"/>
      <c r="Z57" s="25"/>
      <c r="AA57" s="54"/>
    </row>
    <row r="58" spans="1:27" ht="12.75" thickBot="1">
      <c r="A58" s="16"/>
      <c r="B58" s="21"/>
      <c r="C58" s="21">
        <v>37</v>
      </c>
      <c r="D58" s="22">
        <v>730.46960000000001</v>
      </c>
      <c r="E58" s="23">
        <v>29.284500000000001</v>
      </c>
      <c r="F58" s="23">
        <v>36.107700000000001</v>
      </c>
      <c r="G58" s="23">
        <v>36.8553</v>
      </c>
      <c r="H58" s="23">
        <v>5556.808</v>
      </c>
      <c r="I58" s="23">
        <v>5.28</v>
      </c>
      <c r="J58" s="24">
        <f t="shared" si="0"/>
        <v>1.5435577777777778</v>
      </c>
      <c r="K58" s="26"/>
      <c r="L58" s="22">
        <v>734.32799999999997</v>
      </c>
      <c r="M58" s="23">
        <v>29.338899999999999</v>
      </c>
      <c r="N58" s="23">
        <v>36.111899999999999</v>
      </c>
      <c r="O58" s="23">
        <v>36.851599999999998</v>
      </c>
      <c r="P58" s="23">
        <v>8021.2370000000001</v>
      </c>
      <c r="Q58" s="23">
        <v>5.4219999999999997</v>
      </c>
      <c r="R58" s="24">
        <f t="shared" si="1"/>
        <v>2.2281213888888889</v>
      </c>
      <c r="S58" s="18">
        <f t="shared" si="5"/>
        <v>1.4434972379826692</v>
      </c>
      <c r="T58" s="18">
        <f t="shared" si="5"/>
        <v>1.0268939393939394</v>
      </c>
      <c r="U58" s="89"/>
      <c r="V58" s="97"/>
      <c r="W58" s="98"/>
      <c r="X58" s="98"/>
      <c r="Y58" s="43"/>
      <c r="Z58" s="55"/>
      <c r="AA58" s="56"/>
    </row>
    <row r="59" spans="1:27">
      <c r="A59" s="16"/>
      <c r="B59" s="11" t="s">
        <v>55</v>
      </c>
      <c r="C59" s="11">
        <v>22</v>
      </c>
      <c r="D59" s="12">
        <v>4524.2272000000003</v>
      </c>
      <c r="E59" s="13">
        <v>39.127899999999997</v>
      </c>
      <c r="F59" s="13">
        <v>41.454599999999999</v>
      </c>
      <c r="G59" s="13">
        <v>43.005899999999997</v>
      </c>
      <c r="H59" s="13">
        <v>15558.8</v>
      </c>
      <c r="I59" s="13">
        <v>10.233000000000001</v>
      </c>
      <c r="J59" s="14">
        <f t="shared" si="0"/>
        <v>4.3218888888888891</v>
      </c>
      <c r="K59" s="26"/>
      <c r="L59" s="12">
        <v>4579.6976000000004</v>
      </c>
      <c r="M59" s="13">
        <v>39.235900000000001</v>
      </c>
      <c r="N59" s="13">
        <v>41.456800000000001</v>
      </c>
      <c r="O59" s="13">
        <v>43.020600000000002</v>
      </c>
      <c r="P59" s="13">
        <v>22177.373</v>
      </c>
      <c r="Q59" s="13">
        <v>10.749000000000001</v>
      </c>
      <c r="R59" s="14">
        <f t="shared" si="1"/>
        <v>6.1603813888888892</v>
      </c>
      <c r="S59" s="18">
        <f t="shared" si="5"/>
        <v>1.4253909684551509</v>
      </c>
      <c r="T59" s="18">
        <f t="shared" si="5"/>
        <v>1.0504250952799765</v>
      </c>
      <c r="U59" s="89"/>
      <c r="V59" s="91">
        <f>bdrate($D59:$D62,E59:E62,$L59:$L62,M59:M62)</f>
        <v>-9.0189290035379566E-3</v>
      </c>
      <c r="W59" s="92">
        <f>bdrate($D59:$D62,F59:F62,$L59:$L62,N59:N62)</f>
        <v>7.9124080632517746E-3</v>
      </c>
      <c r="X59" s="92">
        <f>bdrate($D59:$D62,G59:G62,$L59:$L62,O59:O62)</f>
        <v>3.6315486976568057E-3</v>
      </c>
      <c r="Y59" s="44">
        <f>bdrateOld($D59:$D62,E59:E62,$L59:$L62,M59:M62)</f>
        <v>-8.9075764919163136E-3</v>
      </c>
      <c r="Z59" s="48">
        <f>bdrateOld($D59:$D62,F59:F62,$L59:$L62,N59:N62)</f>
        <v>7.5751165146789035E-3</v>
      </c>
      <c r="AA59" s="49">
        <f>bdrateOld($D59:$D62,G59:G62,$L59:$L62,O59:O62)</f>
        <v>3.3479792520139107E-3</v>
      </c>
    </row>
    <row r="60" spans="1:27">
      <c r="A60" s="16"/>
      <c r="B60" s="16"/>
      <c r="C60" s="16">
        <v>27</v>
      </c>
      <c r="D60" s="17">
        <v>1781.492</v>
      </c>
      <c r="E60" s="18">
        <v>35.753500000000003</v>
      </c>
      <c r="F60" s="18">
        <v>39.326999999999998</v>
      </c>
      <c r="G60" s="18">
        <v>40.958100000000002</v>
      </c>
      <c r="H60" s="18">
        <v>11159.486999999999</v>
      </c>
      <c r="I60" s="18">
        <v>6.468</v>
      </c>
      <c r="J60" s="19">
        <f t="shared" ref="J60:J106" si="6">H60/3600</f>
        <v>3.0998574999999997</v>
      </c>
      <c r="K60" s="26"/>
      <c r="L60" s="17">
        <v>1796.0840000000001</v>
      </c>
      <c r="M60" s="18">
        <v>35.815300000000001</v>
      </c>
      <c r="N60" s="18">
        <v>39.335700000000003</v>
      </c>
      <c r="O60" s="18">
        <v>40.969200000000001</v>
      </c>
      <c r="P60" s="18">
        <v>14741.710999999999</v>
      </c>
      <c r="Q60" s="18">
        <v>6.91</v>
      </c>
      <c r="R60" s="19">
        <f t="shared" ref="R60:R106" si="7">P60/3600</f>
        <v>4.0949197222222224</v>
      </c>
      <c r="S60" s="18">
        <f t="shared" si="5"/>
        <v>1.3210025693833418</v>
      </c>
      <c r="T60" s="18">
        <f t="shared" si="5"/>
        <v>1.0683364254792826</v>
      </c>
      <c r="U60" s="89"/>
      <c r="V60" s="94"/>
      <c r="W60" s="95"/>
      <c r="X60" s="95"/>
      <c r="Y60" s="42"/>
      <c r="Z60" s="25"/>
      <c r="AA60" s="54"/>
    </row>
    <row r="61" spans="1:27">
      <c r="A61" s="16"/>
      <c r="B61" s="16"/>
      <c r="C61" s="16">
        <v>32</v>
      </c>
      <c r="D61" s="17">
        <v>845.09199999999998</v>
      </c>
      <c r="E61" s="18">
        <v>33.0229</v>
      </c>
      <c r="F61" s="18">
        <v>37.587299999999999</v>
      </c>
      <c r="G61" s="18">
        <v>39.3568</v>
      </c>
      <c r="H61" s="18">
        <v>8637.8780000000006</v>
      </c>
      <c r="I61" s="18">
        <v>4.9770000000000003</v>
      </c>
      <c r="J61" s="19">
        <f t="shared" si="6"/>
        <v>2.3994105555555558</v>
      </c>
      <c r="K61" s="26"/>
      <c r="L61" s="17">
        <v>851.16800000000001</v>
      </c>
      <c r="M61" s="18">
        <v>33.077100000000002</v>
      </c>
      <c r="N61" s="18">
        <v>37.578800000000001</v>
      </c>
      <c r="O61" s="18">
        <v>39.360999999999997</v>
      </c>
      <c r="P61" s="18">
        <v>10806.838</v>
      </c>
      <c r="Q61" s="18">
        <v>4.71</v>
      </c>
      <c r="R61" s="19">
        <f t="shared" si="7"/>
        <v>3.0018994444444442</v>
      </c>
      <c r="S61" s="18">
        <f t="shared" si="5"/>
        <v>1.2510987073445583</v>
      </c>
      <c r="T61" s="18">
        <f t="shared" si="5"/>
        <v>0.94635322483423745</v>
      </c>
      <c r="U61" s="89"/>
      <c r="V61" s="94"/>
      <c r="W61" s="95"/>
      <c r="X61" s="95"/>
      <c r="Y61" s="42"/>
      <c r="Z61" s="25"/>
      <c r="AA61" s="54"/>
    </row>
    <row r="62" spans="1:27" ht="12.75" thickBot="1">
      <c r="A62" s="21"/>
      <c r="B62" s="21"/>
      <c r="C62" s="21">
        <v>37</v>
      </c>
      <c r="D62" s="22">
        <v>405.19279999999998</v>
      </c>
      <c r="E62" s="23">
        <v>30.3749</v>
      </c>
      <c r="F62" s="23">
        <v>36.114800000000002</v>
      </c>
      <c r="G62" s="23">
        <v>37.946599999999997</v>
      </c>
      <c r="H62" s="23">
        <v>6326.4830000000002</v>
      </c>
      <c r="I62" s="23">
        <v>3.649</v>
      </c>
      <c r="J62" s="24">
        <f t="shared" si="6"/>
        <v>1.757356388888889</v>
      </c>
      <c r="K62" s="26"/>
      <c r="L62" s="22">
        <v>408.2328</v>
      </c>
      <c r="M62" s="23">
        <v>30.413</v>
      </c>
      <c r="N62" s="23">
        <v>36.1143</v>
      </c>
      <c r="O62" s="23">
        <v>37.962800000000001</v>
      </c>
      <c r="P62" s="23">
        <v>8388.6959999999999</v>
      </c>
      <c r="Q62" s="23">
        <v>3.89</v>
      </c>
      <c r="R62" s="24">
        <f t="shared" si="7"/>
        <v>2.3301933333333333</v>
      </c>
      <c r="S62" s="23">
        <f t="shared" si="5"/>
        <v>1.3259651531506524</v>
      </c>
      <c r="T62" s="23">
        <f t="shared" si="5"/>
        <v>1.0660454919155933</v>
      </c>
      <c r="U62" s="90"/>
      <c r="V62" s="97"/>
      <c r="W62" s="98"/>
      <c r="X62" s="98"/>
      <c r="Y62" s="43"/>
      <c r="Z62" s="55"/>
      <c r="AA62" s="56"/>
    </row>
    <row r="63" spans="1:27">
      <c r="A63" s="11" t="s">
        <v>6</v>
      </c>
      <c r="B63" s="11" t="s">
        <v>56</v>
      </c>
      <c r="C63" s="11">
        <f>C59</f>
        <v>22</v>
      </c>
      <c r="D63" s="12">
        <v>1431.8984</v>
      </c>
      <c r="E63" s="13">
        <v>41.131900000000002</v>
      </c>
      <c r="F63" s="13">
        <v>44.471400000000003</v>
      </c>
      <c r="G63" s="13">
        <v>43.4437</v>
      </c>
      <c r="H63" s="13">
        <v>5004.1369999999997</v>
      </c>
      <c r="I63" s="13">
        <v>3.927</v>
      </c>
      <c r="J63" s="14">
        <f t="shared" si="6"/>
        <v>1.3900380555555554</v>
      </c>
      <c r="K63" s="26"/>
      <c r="L63" s="12">
        <v>1441.92</v>
      </c>
      <c r="M63" s="13">
        <v>41.215699999999998</v>
      </c>
      <c r="N63" s="13">
        <v>44.457500000000003</v>
      </c>
      <c r="O63" s="13">
        <v>43.439300000000003</v>
      </c>
      <c r="P63" s="13">
        <v>6554.6059999999998</v>
      </c>
      <c r="Q63" s="13">
        <v>3.8370000000000002</v>
      </c>
      <c r="R63" s="14">
        <f t="shared" si="7"/>
        <v>1.8207238888888888</v>
      </c>
      <c r="S63" s="13">
        <f>P63/H63</f>
        <v>1.3098374405017288</v>
      </c>
      <c r="T63" s="13">
        <f t="shared" si="5"/>
        <v>0.97708174178762419</v>
      </c>
      <c r="U63" s="88"/>
      <c r="V63" s="91">
        <f>bdrate($D63:$D66,E63:E66,$L63:$L66,M63:M66)</f>
        <v>-4.7658369761887087E-3</v>
      </c>
      <c r="W63" s="92">
        <f>bdrate($D63:$D66,F63:F66,$L63:$L66,N63:N66)</f>
        <v>7.0367035234502051E-3</v>
      </c>
      <c r="X63" s="93">
        <f>bdrate($D63:$D66,G63:G66,$L63:$L66,O63:O66)</f>
        <v>1.2611466192232523E-2</v>
      </c>
      <c r="Y63" s="41">
        <f>bdrateOld($D63:$D66,E63:E66,$L63:$L66,M63:M66)</f>
        <v>-4.6900097922125683E-3</v>
      </c>
      <c r="Z63" s="46">
        <f>bdrateOld($D63:$D66,F63:F66,$L63:$L66,N63:N66)</f>
        <v>6.7788977432181596E-3</v>
      </c>
      <c r="AA63" s="47">
        <f>bdrateOld($D63:$D66,G63:G66,$L63:$L66,O63:O66)</f>
        <v>1.2857369412230257E-2</v>
      </c>
    </row>
    <row r="64" spans="1:27">
      <c r="A64" s="16" t="s">
        <v>49</v>
      </c>
      <c r="B64" s="16"/>
      <c r="C64" s="16">
        <f>C60</f>
        <v>27</v>
      </c>
      <c r="D64" s="17">
        <v>687.97360000000003</v>
      </c>
      <c r="E64" s="18">
        <v>37.084600000000002</v>
      </c>
      <c r="F64" s="18">
        <v>42.0015</v>
      </c>
      <c r="G64" s="18">
        <v>40.601700000000001</v>
      </c>
      <c r="H64" s="18">
        <v>3657.067</v>
      </c>
      <c r="I64" s="18">
        <v>2.7040000000000002</v>
      </c>
      <c r="J64" s="19">
        <f t="shared" si="6"/>
        <v>1.0158519444444445</v>
      </c>
      <c r="K64" s="26"/>
      <c r="L64" s="17">
        <v>693.29840000000002</v>
      </c>
      <c r="M64" s="18">
        <v>37.151299999999999</v>
      </c>
      <c r="N64" s="18">
        <v>42.003799999999998</v>
      </c>
      <c r="O64" s="18">
        <v>40.580199999999998</v>
      </c>
      <c r="P64" s="18">
        <v>5067.5940000000001</v>
      </c>
      <c r="Q64" s="18">
        <v>2.806</v>
      </c>
      <c r="R64" s="19">
        <f t="shared" si="7"/>
        <v>1.4076649999999999</v>
      </c>
      <c r="S64" s="18">
        <f>P64/H64</f>
        <v>1.3856989768029955</v>
      </c>
      <c r="T64" s="18">
        <f t="shared" si="5"/>
        <v>1.0377218934911243</v>
      </c>
      <c r="U64" s="89"/>
      <c r="V64" s="94"/>
      <c r="W64" s="95"/>
      <c r="X64" s="96"/>
      <c r="Y64" s="42"/>
      <c r="Z64" s="25"/>
      <c r="AA64" s="54"/>
    </row>
    <row r="65" spans="1:27">
      <c r="A65" s="16"/>
      <c r="B65" s="16"/>
      <c r="C65" s="16">
        <f>C61</f>
        <v>32</v>
      </c>
      <c r="D65" s="17">
        <v>349.3664</v>
      </c>
      <c r="E65" s="18">
        <v>33.771500000000003</v>
      </c>
      <c r="F65" s="18">
        <v>40.011899999999997</v>
      </c>
      <c r="G65" s="18">
        <v>38.522399999999998</v>
      </c>
      <c r="H65" s="18">
        <v>2879.23</v>
      </c>
      <c r="I65" s="18">
        <v>2.0750000000000002</v>
      </c>
      <c r="J65" s="19">
        <f t="shared" si="6"/>
        <v>0.79978611111111109</v>
      </c>
      <c r="K65" s="26"/>
      <c r="L65" s="17">
        <v>352.85359999999997</v>
      </c>
      <c r="M65" s="18">
        <v>33.837499999999999</v>
      </c>
      <c r="N65" s="18">
        <v>40.017699999999998</v>
      </c>
      <c r="O65" s="18">
        <v>38.514699999999998</v>
      </c>
      <c r="P65" s="18">
        <v>3873.6680000000001</v>
      </c>
      <c r="Q65" s="18">
        <v>2.1150000000000002</v>
      </c>
      <c r="R65" s="19">
        <f t="shared" si="7"/>
        <v>1.0760188888888889</v>
      </c>
      <c r="S65" s="18">
        <f>P65/H65</f>
        <v>1.3453833142888898</v>
      </c>
      <c r="T65" s="18">
        <f t="shared" si="5"/>
        <v>1.0192771084337349</v>
      </c>
      <c r="U65" s="89"/>
      <c r="V65" s="94"/>
      <c r="W65" s="95"/>
      <c r="X65" s="96"/>
      <c r="Y65" s="42"/>
      <c r="Z65" s="25"/>
      <c r="AA65" s="54"/>
    </row>
    <row r="66" spans="1:27" ht="12.75" thickBot="1">
      <c r="A66" s="16"/>
      <c r="B66" s="21"/>
      <c r="C66" s="21">
        <f>C62</f>
        <v>37</v>
      </c>
      <c r="D66" s="22">
        <v>177.33279999999999</v>
      </c>
      <c r="E66" s="23">
        <v>30.869700000000002</v>
      </c>
      <c r="F66" s="23">
        <v>38.308300000000003</v>
      </c>
      <c r="G66" s="23">
        <v>36.643799999999999</v>
      </c>
      <c r="H66" s="23">
        <v>1994.806</v>
      </c>
      <c r="I66" s="23">
        <v>1.609</v>
      </c>
      <c r="J66" s="24">
        <f t="shared" si="6"/>
        <v>0.55411277777777779</v>
      </c>
      <c r="K66" s="26"/>
      <c r="L66" s="22">
        <v>178.7208</v>
      </c>
      <c r="M66" s="23">
        <v>30.9039</v>
      </c>
      <c r="N66" s="23">
        <v>38.329099999999997</v>
      </c>
      <c r="O66" s="23">
        <v>36.629600000000003</v>
      </c>
      <c r="P66" s="23">
        <v>2701.0509999999999</v>
      </c>
      <c r="Q66" s="23">
        <v>1.5349999999999999</v>
      </c>
      <c r="R66" s="24">
        <f t="shared" si="7"/>
        <v>0.75029194444444447</v>
      </c>
      <c r="S66" s="18">
        <f>P66/H66</f>
        <v>1.3540419469361933</v>
      </c>
      <c r="T66" s="18">
        <f t="shared" si="5"/>
        <v>0.95400870105655677</v>
      </c>
      <c r="U66" s="89"/>
      <c r="V66" s="97"/>
      <c r="W66" s="98"/>
      <c r="X66" s="99"/>
      <c r="Y66" s="43"/>
      <c r="Z66" s="55"/>
      <c r="AA66" s="56"/>
    </row>
    <row r="67" spans="1:27">
      <c r="A67" s="16"/>
      <c r="B67" s="11" t="s">
        <v>57</v>
      </c>
      <c r="C67" s="11">
        <v>22</v>
      </c>
      <c r="D67" s="12">
        <v>1650.2152000000001</v>
      </c>
      <c r="E67" s="13">
        <v>38.252899999999997</v>
      </c>
      <c r="F67" s="13">
        <v>44.166899999999998</v>
      </c>
      <c r="G67" s="13">
        <v>45.404400000000003</v>
      </c>
      <c r="H67" s="13">
        <v>3781.2440000000001</v>
      </c>
      <c r="I67" s="13">
        <v>4.8499999999999996</v>
      </c>
      <c r="J67" s="14">
        <f t="shared" si="6"/>
        <v>1.0503455555555556</v>
      </c>
      <c r="K67" s="26"/>
      <c r="L67" s="12">
        <v>1665.7216000000001</v>
      </c>
      <c r="M67" s="13">
        <v>38.3476</v>
      </c>
      <c r="N67" s="13">
        <v>44.164000000000001</v>
      </c>
      <c r="O67" s="13">
        <v>45.397500000000001</v>
      </c>
      <c r="P67" s="13">
        <v>6219.5389999999998</v>
      </c>
      <c r="Q67" s="13">
        <v>4.6020000000000003</v>
      </c>
      <c r="R67" s="14">
        <f t="shared" si="7"/>
        <v>1.7276497222222222</v>
      </c>
      <c r="S67" s="18">
        <f t="shared" si="5"/>
        <v>1.6448393703236288</v>
      </c>
      <c r="T67" s="18">
        <f t="shared" si="5"/>
        <v>0.94886597938144346</v>
      </c>
      <c r="U67" s="89"/>
      <c r="V67" s="91">
        <f>bdrate($D67:$D70,E67:E70,$L67:$L70,M67:M70)</f>
        <v>-1.0675905747053793E-2</v>
      </c>
      <c r="W67" s="92">
        <f>bdrate($D67:$D70,F67:F70,$L67:$L70,N67:N70)</f>
        <v>-8.3554484977299559E-4</v>
      </c>
      <c r="X67" s="92">
        <f>bdrate($D67:$D70,G67:G70,$L67:$L70,O67:O70)</f>
        <v>-3.0991879319678395E-3</v>
      </c>
      <c r="Y67" s="44">
        <f>bdrateOld($D67:$D70,E67:E70,$L67:$L70,M67:M70)</f>
        <v>-1.0722031843856228E-2</v>
      </c>
      <c r="Z67" s="48">
        <f>bdrateOld($D67:$D70,F67:F70,$L67:$L70,N67:N70)</f>
        <v>-7.8685626145258425E-4</v>
      </c>
      <c r="AA67" s="49">
        <f>bdrateOld($D67:$D70,G67:G70,$L67:$L70,O67:O70)</f>
        <v>-2.4693374194814099E-3</v>
      </c>
    </row>
    <row r="68" spans="1:27">
      <c r="A68" s="16"/>
      <c r="B68" s="16"/>
      <c r="C68" s="16">
        <v>27</v>
      </c>
      <c r="D68" s="17">
        <v>657.49199999999996</v>
      </c>
      <c r="E68" s="18">
        <v>34.903799999999997</v>
      </c>
      <c r="F68" s="18">
        <v>42.355699999999999</v>
      </c>
      <c r="G68" s="18">
        <v>43.454900000000002</v>
      </c>
      <c r="H68" s="18">
        <v>1873.202</v>
      </c>
      <c r="I68" s="18">
        <v>2.6160000000000001</v>
      </c>
      <c r="J68" s="19">
        <f t="shared" si="6"/>
        <v>0.52033388888888887</v>
      </c>
      <c r="K68" s="26"/>
      <c r="L68" s="17">
        <v>662.53359999999998</v>
      </c>
      <c r="M68" s="18">
        <v>34.972499999999997</v>
      </c>
      <c r="N68" s="18">
        <v>42.384799999999998</v>
      </c>
      <c r="O68" s="18">
        <v>43.454099999999997</v>
      </c>
      <c r="P68" s="18">
        <v>2876.4229999999998</v>
      </c>
      <c r="Q68" s="18">
        <v>2.6059999999999999</v>
      </c>
      <c r="R68" s="19">
        <f t="shared" si="7"/>
        <v>0.79900638888888886</v>
      </c>
      <c r="S68" s="18">
        <f t="shared" si="5"/>
        <v>1.5355647709109854</v>
      </c>
      <c r="T68" s="18">
        <f t="shared" si="5"/>
        <v>0.99617737003058093</v>
      </c>
      <c r="U68" s="89"/>
      <c r="V68" s="94"/>
      <c r="W68" s="95"/>
      <c r="X68" s="95"/>
      <c r="Y68" s="42"/>
      <c r="Z68" s="25"/>
      <c r="AA68" s="54"/>
    </row>
    <row r="69" spans="1:27">
      <c r="A69" s="16"/>
      <c r="B69" s="16"/>
      <c r="C69" s="16">
        <v>32</v>
      </c>
      <c r="D69" s="17">
        <v>326.39600000000002</v>
      </c>
      <c r="E69" s="18">
        <v>32.293500000000002</v>
      </c>
      <c r="F69" s="18">
        <v>40.142200000000003</v>
      </c>
      <c r="G69" s="18">
        <v>41.135399999999997</v>
      </c>
      <c r="H69" s="18">
        <v>1145.992</v>
      </c>
      <c r="I69" s="18">
        <v>1.863</v>
      </c>
      <c r="J69" s="19">
        <f t="shared" si="6"/>
        <v>0.31833111111111112</v>
      </c>
      <c r="K69" s="26"/>
      <c r="L69" s="17">
        <v>327.86160000000001</v>
      </c>
      <c r="M69" s="18">
        <v>32.341700000000003</v>
      </c>
      <c r="N69" s="18">
        <v>40.156100000000002</v>
      </c>
      <c r="O69" s="18">
        <v>41.209400000000002</v>
      </c>
      <c r="P69" s="18">
        <v>1736.568</v>
      </c>
      <c r="Q69" s="18">
        <v>1.895</v>
      </c>
      <c r="R69" s="19">
        <f t="shared" si="7"/>
        <v>0.48237999999999998</v>
      </c>
      <c r="S69" s="18">
        <f t="shared" si="5"/>
        <v>1.5153404212245809</v>
      </c>
      <c r="T69" s="18">
        <f t="shared" si="5"/>
        <v>1.0171765968867419</v>
      </c>
      <c r="U69" s="89"/>
      <c r="V69" s="94"/>
      <c r="W69" s="95"/>
      <c r="X69" s="95"/>
      <c r="Y69" s="42"/>
      <c r="Z69" s="25"/>
      <c r="AA69" s="54"/>
    </row>
    <row r="70" spans="1:27" ht="12.75" thickBot="1">
      <c r="A70" s="16"/>
      <c r="B70" s="21"/>
      <c r="C70" s="21">
        <v>37</v>
      </c>
      <c r="D70" s="22">
        <v>180.78559999999999</v>
      </c>
      <c r="E70" s="23">
        <v>29.866499999999998</v>
      </c>
      <c r="F70" s="23">
        <v>38.529600000000002</v>
      </c>
      <c r="G70" s="23">
        <v>39.545299999999997</v>
      </c>
      <c r="H70" s="23">
        <v>778.49300000000005</v>
      </c>
      <c r="I70" s="23">
        <v>1.56</v>
      </c>
      <c r="J70" s="24">
        <f t="shared" si="6"/>
        <v>0.21624805555555557</v>
      </c>
      <c r="K70" s="26"/>
      <c r="L70" s="22">
        <v>180.69919999999999</v>
      </c>
      <c r="M70" s="23">
        <v>29.905100000000001</v>
      </c>
      <c r="N70" s="23">
        <v>38.543599999999998</v>
      </c>
      <c r="O70" s="23">
        <v>39.564900000000002</v>
      </c>
      <c r="P70" s="23">
        <v>1155.771</v>
      </c>
      <c r="Q70" s="23">
        <v>1.5880000000000001</v>
      </c>
      <c r="R70" s="24">
        <f t="shared" si="7"/>
        <v>0.32104749999999999</v>
      </c>
      <c r="S70" s="18">
        <f t="shared" si="5"/>
        <v>1.4846260660018777</v>
      </c>
      <c r="T70" s="18">
        <f t="shared" si="5"/>
        <v>1.0179487179487179</v>
      </c>
      <c r="U70" s="89"/>
      <c r="V70" s="97"/>
      <c r="W70" s="98"/>
      <c r="X70" s="98"/>
      <c r="Y70" s="43"/>
      <c r="Z70" s="55"/>
      <c r="AA70" s="56"/>
    </row>
    <row r="71" spans="1:27">
      <c r="A71" s="16"/>
      <c r="B71" s="11" t="s">
        <v>58</v>
      </c>
      <c r="C71" s="11">
        <v>22</v>
      </c>
      <c r="D71" s="12">
        <v>1559.8463999999999</v>
      </c>
      <c r="E71" s="13">
        <v>38.368400000000001</v>
      </c>
      <c r="F71" s="13">
        <v>41.887900000000002</v>
      </c>
      <c r="G71" s="13">
        <v>43.115499999999997</v>
      </c>
      <c r="H71" s="13">
        <v>3712.0430000000001</v>
      </c>
      <c r="I71" s="13">
        <v>4.2300000000000004</v>
      </c>
      <c r="J71" s="14">
        <f t="shared" si="6"/>
        <v>1.0311230555555555</v>
      </c>
      <c r="K71" s="26"/>
      <c r="L71" s="12">
        <v>1570.4072000000001</v>
      </c>
      <c r="M71" s="13">
        <v>38.448</v>
      </c>
      <c r="N71" s="13">
        <v>41.886299999999999</v>
      </c>
      <c r="O71" s="13">
        <v>43.117199999999997</v>
      </c>
      <c r="P71" s="13">
        <v>5808.9170000000004</v>
      </c>
      <c r="Q71" s="13">
        <v>3.83</v>
      </c>
      <c r="R71" s="14">
        <f t="shared" si="7"/>
        <v>1.6135880555555557</v>
      </c>
      <c r="S71" s="18">
        <f t="shared" ref="S71:T82" si="8">P71/H71</f>
        <v>1.5648840813535836</v>
      </c>
      <c r="T71" s="18">
        <f t="shared" si="8"/>
        <v>0.90543735224586286</v>
      </c>
      <c r="U71" s="89"/>
      <c r="V71" s="91">
        <f>bdrate($D71:$D74,E71:E74,$L71:$L74,M71:M74)</f>
        <v>-1.119604779200245E-2</v>
      </c>
      <c r="W71" s="92">
        <f>bdrate($D71:$D74,F71:F74,$L71:$L74,N71:N74)</f>
        <v>1.3410986114008594E-3</v>
      </c>
      <c r="X71" s="92">
        <f>bdrate($D71:$D74,G71:G74,$L71:$L74,O71:O74)</f>
        <v>2.580788242758425E-3</v>
      </c>
      <c r="Y71" s="44">
        <f>bdrateOld($D71:$D74,E71:E74,$L71:$L74,M71:M74)</f>
        <v>-1.1148378310580798E-2</v>
      </c>
      <c r="Z71" s="48">
        <f>bdrateOld($D71:$D74,F71:F74,$L71:$L74,N71:N74)</f>
        <v>1.2774526077117265E-3</v>
      </c>
      <c r="AA71" s="49">
        <f>bdrateOld($D71:$D74,G71:G74,$L71:$L74,O71:O74)</f>
        <v>2.3120683247734863E-3</v>
      </c>
    </row>
    <row r="72" spans="1:27">
      <c r="A72" s="16"/>
      <c r="B72" s="16"/>
      <c r="C72" s="16">
        <v>27</v>
      </c>
      <c r="D72" s="17">
        <v>724.76880000000006</v>
      </c>
      <c r="E72" s="18">
        <v>35.089300000000001</v>
      </c>
      <c r="F72" s="18">
        <v>39.696300000000001</v>
      </c>
      <c r="G72" s="18">
        <v>40.699300000000001</v>
      </c>
      <c r="H72" s="18">
        <v>2496.7440000000001</v>
      </c>
      <c r="I72" s="18">
        <v>2.6440000000000001</v>
      </c>
      <c r="J72" s="19">
        <f t="shared" si="6"/>
        <v>0.69354000000000005</v>
      </c>
      <c r="K72" s="26"/>
      <c r="L72" s="17">
        <v>728.66560000000004</v>
      </c>
      <c r="M72" s="18">
        <v>35.162399999999998</v>
      </c>
      <c r="N72" s="18">
        <v>39.7014</v>
      </c>
      <c r="O72" s="18">
        <v>40.704000000000001</v>
      </c>
      <c r="P72" s="18">
        <v>3611.5250000000001</v>
      </c>
      <c r="Q72" s="18">
        <v>2.456</v>
      </c>
      <c r="R72" s="19">
        <f t="shared" si="7"/>
        <v>1.0032013888888889</v>
      </c>
      <c r="S72" s="18">
        <f t="shared" si="8"/>
        <v>1.4464939136731678</v>
      </c>
      <c r="T72" s="18">
        <f t="shared" si="8"/>
        <v>0.92889561270801813</v>
      </c>
      <c r="U72" s="89"/>
      <c r="V72" s="94"/>
      <c r="W72" s="95"/>
      <c r="X72" s="95"/>
      <c r="Y72" s="42"/>
      <c r="Z72" s="25"/>
      <c r="AA72" s="54"/>
    </row>
    <row r="73" spans="1:27">
      <c r="A73" s="16"/>
      <c r="B73" s="16"/>
      <c r="C73" s="16">
        <v>32</v>
      </c>
      <c r="D73" s="17">
        <v>359.22320000000002</v>
      </c>
      <c r="E73" s="18">
        <v>32.1312</v>
      </c>
      <c r="F73" s="18">
        <v>37.511400000000002</v>
      </c>
      <c r="G73" s="18">
        <v>38.277099999999997</v>
      </c>
      <c r="H73" s="18">
        <v>1645.4090000000001</v>
      </c>
      <c r="I73" s="18">
        <v>1.891</v>
      </c>
      <c r="J73" s="19">
        <f t="shared" si="6"/>
        <v>0.45705805555555556</v>
      </c>
      <c r="K73" s="26"/>
      <c r="L73" s="17">
        <v>360.52</v>
      </c>
      <c r="M73" s="18">
        <v>32.194200000000002</v>
      </c>
      <c r="N73" s="18">
        <v>37.523099999999999</v>
      </c>
      <c r="O73" s="18">
        <v>38.275399999999998</v>
      </c>
      <c r="P73" s="18">
        <v>2484.297</v>
      </c>
      <c r="Q73" s="18">
        <v>1.8280000000000001</v>
      </c>
      <c r="R73" s="19">
        <f t="shared" si="7"/>
        <v>0.69008250000000004</v>
      </c>
      <c r="S73" s="18">
        <f t="shared" si="8"/>
        <v>1.5098355484867287</v>
      </c>
      <c r="T73" s="18">
        <f t="shared" si="8"/>
        <v>0.96668429402432576</v>
      </c>
      <c r="U73" s="89"/>
      <c r="V73" s="94"/>
      <c r="W73" s="95"/>
      <c r="X73" s="95"/>
      <c r="Y73" s="42"/>
      <c r="Z73" s="25"/>
      <c r="AA73" s="54"/>
    </row>
    <row r="74" spans="1:27" ht="12.75" thickBot="1">
      <c r="A74" s="16"/>
      <c r="B74" s="21"/>
      <c r="C74" s="21">
        <v>37</v>
      </c>
      <c r="D74" s="22">
        <v>171.54079999999999</v>
      </c>
      <c r="E74" s="23">
        <v>29.293299999999999</v>
      </c>
      <c r="F74" s="23">
        <v>35.722000000000001</v>
      </c>
      <c r="G74" s="23">
        <v>36.316400000000002</v>
      </c>
      <c r="H74" s="23">
        <v>1103.5170000000001</v>
      </c>
      <c r="I74" s="23">
        <v>1.3720000000000001</v>
      </c>
      <c r="J74" s="24">
        <f t="shared" si="6"/>
        <v>0.30653250000000004</v>
      </c>
      <c r="K74" s="26"/>
      <c r="L74" s="22">
        <v>172.48560000000001</v>
      </c>
      <c r="M74" s="23">
        <v>29.3384</v>
      </c>
      <c r="N74" s="23">
        <v>35.753799999999998</v>
      </c>
      <c r="O74" s="23">
        <v>36.360900000000001</v>
      </c>
      <c r="P74" s="23">
        <v>1631.79</v>
      </c>
      <c r="Q74" s="23">
        <v>1.4590000000000001</v>
      </c>
      <c r="R74" s="24">
        <f t="shared" si="7"/>
        <v>0.45327499999999998</v>
      </c>
      <c r="S74" s="18">
        <f t="shared" si="8"/>
        <v>1.4787175911200279</v>
      </c>
      <c r="T74" s="18">
        <f t="shared" si="8"/>
        <v>1.0634110787172011</v>
      </c>
      <c r="U74" s="89"/>
      <c r="V74" s="97"/>
      <c r="W74" s="98"/>
      <c r="X74" s="98"/>
      <c r="Y74" s="43"/>
      <c r="Z74" s="55"/>
      <c r="AA74" s="56"/>
    </row>
    <row r="75" spans="1:27">
      <c r="A75" s="16"/>
      <c r="B75" s="11" t="s">
        <v>55</v>
      </c>
      <c r="C75" s="11">
        <v>22</v>
      </c>
      <c r="D75" s="12">
        <v>1107.2175999999999</v>
      </c>
      <c r="E75" s="13">
        <v>39.674900000000001</v>
      </c>
      <c r="F75" s="13">
        <v>41.817599999999999</v>
      </c>
      <c r="G75" s="13">
        <v>42.878999999999998</v>
      </c>
      <c r="H75" s="13">
        <v>3717.4389999999999</v>
      </c>
      <c r="I75" s="13">
        <v>3.0110000000000001</v>
      </c>
      <c r="J75" s="14">
        <f t="shared" si="6"/>
        <v>1.0326219444444444</v>
      </c>
      <c r="K75" s="26"/>
      <c r="L75" s="12">
        <v>1117.3928000000001</v>
      </c>
      <c r="M75" s="13">
        <v>39.779499999999999</v>
      </c>
      <c r="N75" s="13">
        <v>41.823799999999999</v>
      </c>
      <c r="O75" s="13">
        <v>42.886899999999997</v>
      </c>
      <c r="P75" s="13">
        <v>4907.9260000000004</v>
      </c>
      <c r="Q75" s="13">
        <v>5.1950000000000003</v>
      </c>
      <c r="R75" s="14">
        <f t="shared" si="7"/>
        <v>1.3633127777777778</v>
      </c>
      <c r="S75" s="18">
        <f t="shared" si="8"/>
        <v>1.3202438560525138</v>
      </c>
      <c r="T75" s="18">
        <f t="shared" si="8"/>
        <v>1.725340418465626</v>
      </c>
      <c r="U75" s="89"/>
      <c r="V75" s="91">
        <f>bdrate($D75:$D78,E75:E78,$L75:$L78,M75:M78)</f>
        <v>-6.40207586747088E-3</v>
      </c>
      <c r="W75" s="92">
        <f>bdrate($D75:$D78,F75:F78,$L75:$L78,N75:N78)</f>
        <v>7.7761307032979676E-3</v>
      </c>
      <c r="X75" s="92">
        <f>bdrate($D75:$D78,G75:G78,$L75:$L78,O75:O78)</f>
        <v>3.2253932757282389E-3</v>
      </c>
      <c r="Y75" s="44">
        <f>bdrateOld($D75:$D78,E75:E78,$L75:$L78,M75:M78)</f>
        <v>-6.332027923639072E-3</v>
      </c>
      <c r="Z75" s="48">
        <f>bdrateOld($D75:$D78,F75:F78,$L75:$L78,N75:N78)</f>
        <v>7.2011200161292699E-3</v>
      </c>
      <c r="AA75" s="49">
        <f>bdrateOld($D75:$D78,G75:G78,$L75:$L78,O75:O78)</f>
        <v>4.3185678101398395E-3</v>
      </c>
    </row>
    <row r="76" spans="1:27">
      <c r="A76" s="16"/>
      <c r="B76" s="16"/>
      <c r="C76" s="16">
        <v>27</v>
      </c>
      <c r="D76" s="17">
        <v>526.57920000000001</v>
      </c>
      <c r="E76" s="18">
        <v>35.775700000000001</v>
      </c>
      <c r="F76" s="18">
        <v>39.215699999999998</v>
      </c>
      <c r="G76" s="18">
        <v>40.406599999999997</v>
      </c>
      <c r="H76" s="18">
        <v>2753.5390000000002</v>
      </c>
      <c r="I76" s="18">
        <v>2.0609999999999999</v>
      </c>
      <c r="J76" s="19">
        <f t="shared" si="6"/>
        <v>0.76487194444444451</v>
      </c>
      <c r="K76" s="26"/>
      <c r="L76" s="17">
        <v>531.22479999999996</v>
      </c>
      <c r="M76" s="18">
        <v>35.8536</v>
      </c>
      <c r="N76" s="18">
        <v>39.2194</v>
      </c>
      <c r="O76" s="18">
        <v>40.413800000000002</v>
      </c>
      <c r="P76" s="18">
        <v>3619.8670000000002</v>
      </c>
      <c r="Q76" s="18">
        <v>1.974</v>
      </c>
      <c r="R76" s="19">
        <f t="shared" si="7"/>
        <v>1.0055186111111112</v>
      </c>
      <c r="S76" s="18">
        <f t="shared" si="8"/>
        <v>1.3146234718302519</v>
      </c>
      <c r="T76" s="18">
        <f t="shared" si="8"/>
        <v>0.9577874818049491</v>
      </c>
      <c r="U76" s="89"/>
      <c r="V76" s="42"/>
      <c r="W76" s="25"/>
      <c r="X76" s="25"/>
      <c r="Y76" s="42"/>
      <c r="Z76" s="25"/>
      <c r="AA76" s="54"/>
    </row>
    <row r="77" spans="1:27">
      <c r="A77" s="16"/>
      <c r="B77" s="16"/>
      <c r="C77" s="16">
        <v>32</v>
      </c>
      <c r="D77" s="17">
        <v>262.5</v>
      </c>
      <c r="E77" s="18">
        <v>32.481699999999996</v>
      </c>
      <c r="F77" s="18">
        <v>37.214199999999998</v>
      </c>
      <c r="G77" s="18">
        <v>38.493000000000002</v>
      </c>
      <c r="H77" s="18">
        <v>2075.8620000000001</v>
      </c>
      <c r="I77" s="18">
        <v>1.4339999999999999</v>
      </c>
      <c r="J77" s="19">
        <f t="shared" si="6"/>
        <v>0.57662833333333341</v>
      </c>
      <c r="K77" s="26"/>
      <c r="L77" s="17">
        <v>264.06720000000001</v>
      </c>
      <c r="M77" s="18">
        <v>32.534199999999998</v>
      </c>
      <c r="N77" s="18">
        <v>37.202500000000001</v>
      </c>
      <c r="O77" s="18">
        <v>38.525700000000001</v>
      </c>
      <c r="P77" s="18">
        <v>2851.7939999999999</v>
      </c>
      <c r="Q77" s="18">
        <v>1.4650000000000001</v>
      </c>
      <c r="R77" s="19">
        <f t="shared" si="7"/>
        <v>0.79216500000000001</v>
      </c>
      <c r="S77" s="18">
        <f t="shared" si="8"/>
        <v>1.3737878529497625</v>
      </c>
      <c r="T77" s="18">
        <f t="shared" si="8"/>
        <v>1.0216178521617854</v>
      </c>
      <c r="U77" s="89"/>
      <c r="V77" s="42"/>
      <c r="W77" s="25"/>
      <c r="X77" s="25"/>
      <c r="Y77" s="42"/>
      <c r="Z77" s="25"/>
      <c r="AA77" s="54"/>
    </row>
    <row r="78" spans="1:27" ht="12.75" thickBot="1">
      <c r="A78" s="21"/>
      <c r="B78" s="21"/>
      <c r="C78" s="21">
        <v>37</v>
      </c>
      <c r="D78" s="22">
        <v>127.548</v>
      </c>
      <c r="E78" s="23">
        <v>29.573899999999998</v>
      </c>
      <c r="F78" s="23">
        <v>35.660600000000002</v>
      </c>
      <c r="G78" s="23">
        <v>36.850999999999999</v>
      </c>
      <c r="H78" s="23">
        <v>1505.3219999999999</v>
      </c>
      <c r="I78" s="23">
        <v>1.0029999999999999</v>
      </c>
      <c r="J78" s="24">
        <f t="shared" si="6"/>
        <v>0.41814499999999999</v>
      </c>
      <c r="K78" s="26"/>
      <c r="L78" s="22">
        <v>128.5872</v>
      </c>
      <c r="M78" s="23">
        <v>29.610499999999998</v>
      </c>
      <c r="N78" s="23">
        <v>35.677900000000001</v>
      </c>
      <c r="O78" s="23">
        <v>36.835799999999999</v>
      </c>
      <c r="P78" s="23">
        <v>1976.193</v>
      </c>
      <c r="Q78" s="23">
        <v>1.1100000000000001</v>
      </c>
      <c r="R78" s="24">
        <f t="shared" si="7"/>
        <v>0.5489425</v>
      </c>
      <c r="S78" s="23">
        <f t="shared" si="8"/>
        <v>1.3128041708019946</v>
      </c>
      <c r="T78" s="23">
        <f t="shared" si="8"/>
        <v>1.1066799601196413</v>
      </c>
      <c r="U78" s="90"/>
      <c r="V78" s="43"/>
      <c r="W78" s="55"/>
      <c r="X78" s="55"/>
      <c r="Y78" s="43"/>
      <c r="Z78" s="55"/>
      <c r="AA78" s="56"/>
    </row>
    <row r="79" spans="1:27">
      <c r="A79" s="11" t="s">
        <v>50</v>
      </c>
      <c r="B79" s="11" t="s">
        <v>59</v>
      </c>
      <c r="C79" s="11">
        <v>22</v>
      </c>
      <c r="D79" s="12">
        <v>2556.4895999999999</v>
      </c>
      <c r="E79" s="13">
        <v>43.068800000000003</v>
      </c>
      <c r="F79" s="13">
        <v>47.499200000000002</v>
      </c>
      <c r="G79" s="13">
        <v>48.964199999999998</v>
      </c>
      <c r="H79" s="13">
        <v>15552.599</v>
      </c>
      <c r="I79" s="13">
        <v>17.234000000000002</v>
      </c>
      <c r="J79" s="14">
        <f t="shared" si="6"/>
        <v>4.3201663888888886</v>
      </c>
      <c r="L79" s="12">
        <v>2572.5311999999999</v>
      </c>
      <c r="M79" s="13">
        <v>43.118000000000002</v>
      </c>
      <c r="N79" s="13">
        <v>47.499499999999998</v>
      </c>
      <c r="O79" s="13">
        <v>48.9651</v>
      </c>
      <c r="P79" s="13">
        <v>22884.276999999998</v>
      </c>
      <c r="Q79" s="13">
        <v>17.303999999999998</v>
      </c>
      <c r="R79" s="14">
        <f t="shared" si="7"/>
        <v>6.3567436111111109</v>
      </c>
      <c r="S79" s="18">
        <f t="shared" si="8"/>
        <v>1.4714117556814779</v>
      </c>
      <c r="T79" s="18">
        <f t="shared" si="8"/>
        <v>1.0040617384240453</v>
      </c>
      <c r="U79" s="58"/>
      <c r="V79" s="91">
        <f>bdrate($D79:$D82,E79:E82,$L79:$L82,M79:M82)</f>
        <v>-2.4206523280468462E-2</v>
      </c>
      <c r="W79" s="92">
        <f>bdrate($D79:$D82,F79:F82,$L79:$L82,N79:N82)</f>
        <v>-8.4304297911370618E-3</v>
      </c>
      <c r="X79" s="92">
        <f>bdrate($D79:$D82,G79:G82,$L79:$L82,O79:O82)</f>
        <v>-4.6880172892921346E-3</v>
      </c>
      <c r="Y79" s="44">
        <f>bdrateOld($D79:$D82,E79:E82,$L79:$L82,M79:M82)</f>
        <v>-2.3938085669402698E-2</v>
      </c>
      <c r="Z79" s="48">
        <f>bdrateOld($D79:$D82,F79:F82,$L79:$L82,N79:N82)</f>
        <v>-8.7430703513471375E-3</v>
      </c>
      <c r="AA79" s="49">
        <f>bdrateOld($D79:$D82,G79:G82,$L79:$L82,O79:O82)</f>
        <v>-4.8793965580397058E-3</v>
      </c>
    </row>
    <row r="80" spans="1:27">
      <c r="A80" s="16" t="s">
        <v>51</v>
      </c>
      <c r="B80" s="16"/>
      <c r="C80" s="16">
        <v>27</v>
      </c>
      <c r="D80" s="17">
        <v>1235.4431999999999</v>
      </c>
      <c r="E80" s="18">
        <v>41.413400000000003</v>
      </c>
      <c r="F80" s="18">
        <v>45.969299999999997</v>
      </c>
      <c r="G80" s="18">
        <v>47.286299999999997</v>
      </c>
      <c r="H80" s="18">
        <v>10418.151</v>
      </c>
      <c r="I80" s="18">
        <v>11.784000000000001</v>
      </c>
      <c r="J80" s="19">
        <f t="shared" si="6"/>
        <v>2.8939308333333331</v>
      </c>
      <c r="L80" s="17">
        <v>1225.4856</v>
      </c>
      <c r="M80" s="18">
        <v>41.4651</v>
      </c>
      <c r="N80" s="18">
        <v>45.962899999999998</v>
      </c>
      <c r="O80" s="18">
        <v>47.262599999999999</v>
      </c>
      <c r="P80" s="18">
        <v>15482.018</v>
      </c>
      <c r="Q80" s="18">
        <v>12.358000000000001</v>
      </c>
      <c r="R80" s="19">
        <f t="shared" si="7"/>
        <v>4.3005605555555553</v>
      </c>
      <c r="S80" s="18">
        <f t="shared" si="8"/>
        <v>1.4860619701135067</v>
      </c>
      <c r="T80" s="18">
        <f t="shared" si="8"/>
        <v>1.0487101154107263</v>
      </c>
      <c r="U80" s="59"/>
      <c r="V80" s="82"/>
      <c r="W80" s="83"/>
      <c r="X80" s="84"/>
      <c r="Y80" s="42"/>
      <c r="Z80" s="25"/>
      <c r="AA80" s="54"/>
    </row>
    <row r="81" spans="1:27">
      <c r="A81" s="16"/>
      <c r="B81" s="16"/>
      <c r="C81" s="16">
        <v>32</v>
      </c>
      <c r="D81" s="17">
        <v>698.58879999999999</v>
      </c>
      <c r="E81" s="18">
        <v>39.218800000000002</v>
      </c>
      <c r="F81" s="18">
        <v>43.928600000000003</v>
      </c>
      <c r="G81" s="18">
        <v>45.187399999999997</v>
      </c>
      <c r="H81" s="18">
        <v>7861.0150000000003</v>
      </c>
      <c r="I81" s="18">
        <v>11.356</v>
      </c>
      <c r="J81" s="19">
        <f t="shared" si="6"/>
        <v>2.1836152777777778</v>
      </c>
      <c r="L81" s="17">
        <v>691.29840000000002</v>
      </c>
      <c r="M81" s="18">
        <v>39.283000000000001</v>
      </c>
      <c r="N81" s="18">
        <v>43.928199999999997</v>
      </c>
      <c r="O81" s="18">
        <v>45.183300000000003</v>
      </c>
      <c r="P81" s="18">
        <v>11589.630999999999</v>
      </c>
      <c r="Q81" s="18">
        <v>10.846</v>
      </c>
      <c r="R81" s="19">
        <f t="shared" si="7"/>
        <v>3.2193419444444444</v>
      </c>
      <c r="S81" s="18">
        <f t="shared" si="8"/>
        <v>1.4743173750463521</v>
      </c>
      <c r="T81" s="18">
        <f t="shared" si="8"/>
        <v>0.95508982035928147</v>
      </c>
      <c r="U81" s="59"/>
      <c r="V81" s="82"/>
      <c r="W81" s="83"/>
      <c r="X81" s="84"/>
      <c r="Y81" s="42"/>
      <c r="Z81" s="25"/>
      <c r="AA81" s="54"/>
    </row>
    <row r="82" spans="1:27" ht="12.75" thickBot="1">
      <c r="A82" s="16"/>
      <c r="B82" s="21"/>
      <c r="C82" s="21">
        <v>37</v>
      </c>
      <c r="D82" s="22">
        <v>401.28640000000001</v>
      </c>
      <c r="E82" s="23">
        <v>36.5486</v>
      </c>
      <c r="F82" s="23">
        <v>42.178600000000003</v>
      </c>
      <c r="G82" s="23">
        <v>43.394799999999996</v>
      </c>
      <c r="H82" s="23">
        <v>6063.7879999999996</v>
      </c>
      <c r="I82" s="23">
        <v>9.9469999999999992</v>
      </c>
      <c r="J82" s="24">
        <f t="shared" si="6"/>
        <v>1.6843855555555554</v>
      </c>
      <c r="L82" s="22">
        <v>397.12560000000002</v>
      </c>
      <c r="M82" s="23">
        <v>36.611199999999997</v>
      </c>
      <c r="N82" s="23">
        <v>42.216900000000003</v>
      </c>
      <c r="O82" s="23">
        <v>43.405099999999997</v>
      </c>
      <c r="P82" s="23">
        <v>8869.1560000000009</v>
      </c>
      <c r="Q82" s="23">
        <v>11.180999999999999</v>
      </c>
      <c r="R82" s="24">
        <f t="shared" si="7"/>
        <v>2.4636544444444448</v>
      </c>
      <c r="S82" s="18">
        <f t="shared" si="8"/>
        <v>1.4626428232649298</v>
      </c>
      <c r="T82" s="18">
        <f t="shared" si="8"/>
        <v>1.1240575047753092</v>
      </c>
      <c r="U82" s="59"/>
      <c r="V82" s="85"/>
      <c r="W82" s="86"/>
      <c r="X82" s="87"/>
      <c r="Y82" s="43"/>
      <c r="Z82" s="55"/>
      <c r="AA82" s="56"/>
    </row>
    <row r="83" spans="1:27">
      <c r="A83" s="16"/>
      <c r="B83" s="11" t="s">
        <v>60</v>
      </c>
      <c r="C83" s="11">
        <v>22</v>
      </c>
      <c r="D83" s="12">
        <v>1720.4896000000001</v>
      </c>
      <c r="E83" s="13">
        <v>43.244500000000002</v>
      </c>
      <c r="F83" s="13">
        <v>48.919400000000003</v>
      </c>
      <c r="G83" s="13">
        <v>49.713200000000001</v>
      </c>
      <c r="H83" s="13">
        <v>10881.402</v>
      </c>
      <c r="I83" s="13">
        <v>13.403</v>
      </c>
      <c r="J83" s="14">
        <f t="shared" si="6"/>
        <v>3.0226116666666667</v>
      </c>
      <c r="L83" s="12">
        <v>1740.2896000000001</v>
      </c>
      <c r="M83" s="13">
        <v>43.283499999999997</v>
      </c>
      <c r="N83" s="13">
        <v>48.929600000000001</v>
      </c>
      <c r="O83" s="13">
        <v>49.721699999999998</v>
      </c>
      <c r="P83" s="13">
        <v>16839.653999999999</v>
      </c>
      <c r="Q83" s="13">
        <v>14.553000000000001</v>
      </c>
      <c r="R83" s="14">
        <f t="shared" si="7"/>
        <v>4.6776816666666665</v>
      </c>
      <c r="S83" s="18">
        <f t="shared" ref="S83:S90" si="9">P83/H83</f>
        <v>1.5475628967664277</v>
      </c>
      <c r="T83" s="18">
        <f t="shared" ref="T83:T90" si="10">Q83/I83</f>
        <v>1.0858016861896591</v>
      </c>
      <c r="U83" s="59"/>
      <c r="V83" s="91">
        <f>bdrate($D83:$D86,E83:E86,$L83:$L86,M83:M86)</f>
        <v>-2.862223201073999E-2</v>
      </c>
      <c r="W83" s="92">
        <f>bdrate($D83:$D86,F83:F86,$L83:$L86,N83:N86)</f>
        <v>-1.0607814116733838E-2</v>
      </c>
      <c r="X83" s="92">
        <f>bdrate($D83:$D86,G83:G86,$L83:$L86,O83:O86)</f>
        <v>-1.3424588814951677E-2</v>
      </c>
      <c r="Y83" s="44">
        <f>bdrateOld($D83:$D86,E83:E86,$L83:$L86,M83:M86)</f>
        <v>-2.8578233587888358E-2</v>
      </c>
      <c r="Z83" s="48">
        <f>bdrateOld($D83:$D86,F83:F86,$L83:$L86,N83:N86)</f>
        <v>-1.1490399546431718E-2</v>
      </c>
      <c r="AA83" s="49">
        <f>bdrateOld($D83:$D86,G83:G86,$L83:$L86,O83:O86)</f>
        <v>-1.3610875594415206E-2</v>
      </c>
    </row>
    <row r="84" spans="1:27">
      <c r="A84" s="16"/>
      <c r="B84" s="16"/>
      <c r="C84" s="16">
        <v>27</v>
      </c>
      <c r="D84" s="17">
        <v>685.85599999999999</v>
      </c>
      <c r="E84" s="18">
        <v>42.027500000000003</v>
      </c>
      <c r="F84" s="18">
        <v>47.768900000000002</v>
      </c>
      <c r="G84" s="18">
        <v>48.438299999999998</v>
      </c>
      <c r="H84" s="18">
        <v>6003.68</v>
      </c>
      <c r="I84" s="18">
        <v>11.073</v>
      </c>
      <c r="J84" s="19">
        <f t="shared" si="6"/>
        <v>1.667688888888889</v>
      </c>
      <c r="L84" s="17">
        <v>678.5376</v>
      </c>
      <c r="M84" s="18">
        <v>42.0623</v>
      </c>
      <c r="N84" s="18">
        <v>47.767800000000001</v>
      </c>
      <c r="O84" s="18">
        <v>48.439</v>
      </c>
      <c r="P84" s="18">
        <v>8689.893</v>
      </c>
      <c r="Q84" s="18">
        <v>10.622999999999999</v>
      </c>
      <c r="R84" s="19">
        <f t="shared" si="7"/>
        <v>2.4138591666666667</v>
      </c>
      <c r="S84" s="18">
        <f t="shared" si="9"/>
        <v>1.4474277443168189</v>
      </c>
      <c r="T84" s="18">
        <f t="shared" si="10"/>
        <v>0.95936060688160385</v>
      </c>
      <c r="U84" s="59"/>
      <c r="V84" s="82"/>
      <c r="W84" s="83"/>
      <c r="X84" s="83"/>
      <c r="Y84" s="42"/>
      <c r="Z84" s="25"/>
      <c r="AA84" s="54"/>
    </row>
    <row r="85" spans="1:27">
      <c r="A85" s="16"/>
      <c r="B85" s="16"/>
      <c r="C85" s="16">
        <v>32</v>
      </c>
      <c r="D85" s="17">
        <v>362.59519999999998</v>
      </c>
      <c r="E85" s="18">
        <v>40.407400000000003</v>
      </c>
      <c r="F85" s="18">
        <v>46.0124</v>
      </c>
      <c r="G85" s="18">
        <v>46.6068</v>
      </c>
      <c r="H85" s="18">
        <v>4681.6459999999997</v>
      </c>
      <c r="I85" s="18">
        <v>10.622</v>
      </c>
      <c r="J85" s="19">
        <f t="shared" si="6"/>
        <v>1.3004572222222222</v>
      </c>
      <c r="L85" s="17">
        <v>357.92239999999998</v>
      </c>
      <c r="M85" s="18">
        <v>40.463200000000001</v>
      </c>
      <c r="N85" s="18">
        <v>46.006300000000003</v>
      </c>
      <c r="O85" s="18">
        <v>46.621899999999997</v>
      </c>
      <c r="P85" s="18">
        <v>6184.0249999999996</v>
      </c>
      <c r="Q85" s="18">
        <v>15.522</v>
      </c>
      <c r="R85" s="19">
        <f t="shared" si="7"/>
        <v>1.7177847222222222</v>
      </c>
      <c r="S85" s="18">
        <f t="shared" si="9"/>
        <v>1.3209082873843943</v>
      </c>
      <c r="T85" s="18">
        <f t="shared" si="10"/>
        <v>1.4613067218979476</v>
      </c>
      <c r="U85" s="59"/>
      <c r="V85" s="82"/>
      <c r="W85" s="83"/>
      <c r="X85" s="83"/>
      <c r="Y85" s="42"/>
      <c r="Z85" s="25"/>
      <c r="AA85" s="54"/>
    </row>
    <row r="86" spans="1:27" ht="12.75" thickBot="1">
      <c r="A86" s="16"/>
      <c r="B86" s="21"/>
      <c r="C86" s="21">
        <v>37</v>
      </c>
      <c r="D86" s="22">
        <v>203.09119999999999</v>
      </c>
      <c r="E86" s="23">
        <v>38.3003</v>
      </c>
      <c r="F86" s="23">
        <v>44.305100000000003</v>
      </c>
      <c r="G86" s="23">
        <v>44.895499999999998</v>
      </c>
      <c r="H86" s="23">
        <v>3799.5250000000001</v>
      </c>
      <c r="I86" s="23">
        <v>10.24</v>
      </c>
      <c r="J86" s="24">
        <f t="shared" si="6"/>
        <v>1.055423611111111</v>
      </c>
      <c r="L86" s="22">
        <v>201.57839999999999</v>
      </c>
      <c r="M86" s="23">
        <v>38.364699999999999</v>
      </c>
      <c r="N86" s="23">
        <v>44.339399999999998</v>
      </c>
      <c r="O86" s="23">
        <v>44.926600000000001</v>
      </c>
      <c r="P86" s="23">
        <v>4823.6239999999998</v>
      </c>
      <c r="Q86" s="23">
        <v>8.798</v>
      </c>
      <c r="R86" s="24">
        <f t="shared" si="7"/>
        <v>1.3398955555555554</v>
      </c>
      <c r="S86" s="18">
        <f t="shared" si="9"/>
        <v>1.2695334285206703</v>
      </c>
      <c r="T86" s="18">
        <f t="shared" si="10"/>
        <v>0.85917968749999996</v>
      </c>
      <c r="U86" s="59"/>
      <c r="V86" s="85"/>
      <c r="W86" s="86"/>
      <c r="X86" s="86"/>
      <c r="Y86" s="43"/>
      <c r="Z86" s="55"/>
      <c r="AA86" s="56"/>
    </row>
    <row r="87" spans="1:27">
      <c r="A87" s="16"/>
      <c r="B87" s="11" t="s">
        <v>61</v>
      </c>
      <c r="C87" s="11">
        <v>22</v>
      </c>
      <c r="D87" s="12">
        <v>2067.9528</v>
      </c>
      <c r="E87" s="13">
        <v>43.568300000000001</v>
      </c>
      <c r="F87" s="13">
        <v>48.281199999999998</v>
      </c>
      <c r="G87" s="13">
        <v>49.319499999999998</v>
      </c>
      <c r="H87" s="13">
        <v>15448.012000000001</v>
      </c>
      <c r="I87" s="13">
        <v>14.242000000000001</v>
      </c>
      <c r="J87" s="14">
        <f t="shared" si="6"/>
        <v>4.2911144444444442</v>
      </c>
      <c r="L87" s="12">
        <v>2091.7743999999998</v>
      </c>
      <c r="M87" s="13">
        <v>43.613</v>
      </c>
      <c r="N87" s="13">
        <v>48.289000000000001</v>
      </c>
      <c r="O87" s="13">
        <v>49.325899999999997</v>
      </c>
      <c r="P87" s="13">
        <v>22698.442999999999</v>
      </c>
      <c r="Q87" s="13">
        <v>14.552</v>
      </c>
      <c r="R87" s="14">
        <f t="shared" si="7"/>
        <v>6.3051230555555557</v>
      </c>
      <c r="S87" s="18">
        <f t="shared" si="9"/>
        <v>1.4693439518301772</v>
      </c>
      <c r="T87" s="18">
        <f t="shared" si="10"/>
        <v>1.0217666058137902</v>
      </c>
      <c r="U87" s="59"/>
      <c r="V87" s="91">
        <f>bdrate($D87:$D90,E87:E90,$L87:$L90,M87:M90)</f>
        <v>-2.3068559244307396E-2</v>
      </c>
      <c r="W87" s="92">
        <f>bdrate($D87:$D90,F87:F90,$L87:$L90,N87:N90)</f>
        <v>-9.8281840898257755E-3</v>
      </c>
      <c r="X87" s="92">
        <f>bdrate($D87:$D90,G87:G90,$L87:$L90,O87:O90)</f>
        <v>-8.2181211689503764E-3</v>
      </c>
      <c r="Y87" s="44">
        <f>bdrateOld($D87:$D90,E87:E90,$L87:$L90,M87:M90)</f>
        <v>-2.278697481875902E-2</v>
      </c>
      <c r="Z87" s="48">
        <f>bdrateOld($D87:$D90,F87:F90,$L87:$L90,N87:N90)</f>
        <v>-9.2348553039738324E-3</v>
      </c>
      <c r="AA87" s="49">
        <f>bdrateOld($D87:$D90,G87:G90,$L87:$L90,O87:O90)</f>
        <v>-8.0401168467643114E-3</v>
      </c>
    </row>
    <row r="88" spans="1:27">
      <c r="A88" s="16"/>
      <c r="B88" s="16"/>
      <c r="C88" s="16">
        <v>27</v>
      </c>
      <c r="D88" s="17">
        <v>916.03279999999995</v>
      </c>
      <c r="E88" s="18">
        <v>42.0274</v>
      </c>
      <c r="F88" s="18">
        <v>46.878799999999998</v>
      </c>
      <c r="G88" s="18">
        <v>47.8568</v>
      </c>
      <c r="H88" s="18">
        <v>9645.2129999999997</v>
      </c>
      <c r="I88" s="18">
        <v>12.006</v>
      </c>
      <c r="J88" s="19">
        <f t="shared" si="6"/>
        <v>2.6792258333333332</v>
      </c>
      <c r="L88" s="17">
        <v>912.64080000000001</v>
      </c>
      <c r="M88" s="18">
        <v>42.075800000000001</v>
      </c>
      <c r="N88" s="18">
        <v>46.887099999999997</v>
      </c>
      <c r="O88" s="18">
        <v>47.866399999999999</v>
      </c>
      <c r="P88" s="18">
        <v>13390.807000000001</v>
      </c>
      <c r="Q88" s="18">
        <v>11.26</v>
      </c>
      <c r="R88" s="19">
        <f t="shared" si="7"/>
        <v>3.7196686111111115</v>
      </c>
      <c r="S88" s="18">
        <f t="shared" si="9"/>
        <v>1.3883370953031313</v>
      </c>
      <c r="T88" s="18">
        <f t="shared" si="10"/>
        <v>0.93786440113276692</v>
      </c>
      <c r="U88" s="59"/>
      <c r="V88" s="82"/>
      <c r="W88" s="83"/>
      <c r="X88" s="83"/>
      <c r="Y88" s="42"/>
      <c r="Z88" s="25"/>
      <c r="AA88" s="54"/>
    </row>
    <row r="89" spans="1:27">
      <c r="A89" s="16"/>
      <c r="B89" s="16"/>
      <c r="C89" s="16">
        <v>32</v>
      </c>
      <c r="D89" s="17">
        <v>498.08960000000002</v>
      </c>
      <c r="E89" s="18">
        <v>40.103499999999997</v>
      </c>
      <c r="F89" s="18">
        <v>44.962600000000002</v>
      </c>
      <c r="G89" s="18">
        <v>45.994</v>
      </c>
      <c r="H89" s="18">
        <v>7146.2619999999997</v>
      </c>
      <c r="I89" s="18">
        <v>10.414999999999999</v>
      </c>
      <c r="J89" s="19">
        <f t="shared" si="6"/>
        <v>1.9850727777777777</v>
      </c>
      <c r="L89" s="17">
        <v>493.55840000000001</v>
      </c>
      <c r="M89" s="18">
        <v>40.157699999999998</v>
      </c>
      <c r="N89" s="18">
        <v>44.9878</v>
      </c>
      <c r="O89" s="18">
        <v>46.001399999999997</v>
      </c>
      <c r="P89" s="18">
        <v>10099.33</v>
      </c>
      <c r="Q89" s="18">
        <v>10.807</v>
      </c>
      <c r="R89" s="19">
        <f t="shared" si="7"/>
        <v>2.8053694444444446</v>
      </c>
      <c r="S89" s="18">
        <f t="shared" si="9"/>
        <v>1.4132325403126837</v>
      </c>
      <c r="T89" s="18">
        <f t="shared" si="10"/>
        <v>1.0376380220835335</v>
      </c>
      <c r="U89" s="59"/>
      <c r="V89" s="82"/>
      <c r="W89" s="83"/>
      <c r="X89" s="83"/>
      <c r="Y89" s="42"/>
      <c r="Z89" s="25"/>
      <c r="AA89" s="54"/>
    </row>
    <row r="90" spans="1:27" ht="12.75" thickBot="1">
      <c r="A90" s="21"/>
      <c r="B90" s="21"/>
      <c r="C90" s="21">
        <v>37</v>
      </c>
      <c r="D90" s="22">
        <v>285.1592</v>
      </c>
      <c r="E90" s="23">
        <v>37.750100000000003</v>
      </c>
      <c r="F90" s="23">
        <v>43.2164</v>
      </c>
      <c r="G90" s="23">
        <v>44.249099999999999</v>
      </c>
      <c r="H90" s="23">
        <v>5194.9340000000002</v>
      </c>
      <c r="I90" s="23">
        <v>10.589</v>
      </c>
      <c r="J90" s="24">
        <f t="shared" si="6"/>
        <v>1.4430372222222223</v>
      </c>
      <c r="L90" s="22">
        <v>281.2672</v>
      </c>
      <c r="M90" s="23">
        <v>37.799700000000001</v>
      </c>
      <c r="N90" s="23">
        <v>43.191699999999997</v>
      </c>
      <c r="O90" s="23">
        <v>44.2425</v>
      </c>
      <c r="P90" s="23">
        <v>7244.0240000000003</v>
      </c>
      <c r="Q90" s="23">
        <v>9.875</v>
      </c>
      <c r="R90" s="24">
        <f t="shared" si="7"/>
        <v>2.0122288888888891</v>
      </c>
      <c r="S90" s="23">
        <f t="shared" si="9"/>
        <v>1.3944400448590877</v>
      </c>
      <c r="T90" s="23">
        <f t="shared" si="10"/>
        <v>0.93257153650014157</v>
      </c>
      <c r="U90" s="59"/>
      <c r="V90" s="85"/>
      <c r="W90" s="86"/>
      <c r="X90" s="86"/>
      <c r="Y90" s="43"/>
      <c r="Z90" s="55"/>
      <c r="AA90" s="56"/>
    </row>
    <row r="91" spans="1:27">
      <c r="A91" s="34" t="s">
        <v>52</v>
      </c>
      <c r="B91" s="34" t="s">
        <v>62</v>
      </c>
      <c r="C91" s="34">
        <v>22</v>
      </c>
      <c r="D91" s="12">
        <f>Reference!B193</f>
        <v>0</v>
      </c>
      <c r="E91" s="13">
        <f>Reference!C193</f>
        <v>0</v>
      </c>
      <c r="F91" s="13">
        <f>Reference!D193</f>
        <v>0</v>
      </c>
      <c r="G91" s="13">
        <f>Reference!E193</f>
        <v>0</v>
      </c>
      <c r="H91" s="13">
        <f>Reference!F193</f>
        <v>0</v>
      </c>
      <c r="I91" s="13">
        <f>Reference!G193</f>
        <v>0</v>
      </c>
      <c r="J91" s="14">
        <f t="shared" si="6"/>
        <v>0</v>
      </c>
      <c r="L91" s="12">
        <f>Test!B193</f>
        <v>0</v>
      </c>
      <c r="M91" s="13">
        <f>Test!C193</f>
        <v>0</v>
      </c>
      <c r="N91" s="13">
        <f>Test!D193</f>
        <v>0</v>
      </c>
      <c r="O91" s="13">
        <f>Test!E193</f>
        <v>0</v>
      </c>
      <c r="P91" s="13">
        <f>Test!F193</f>
        <v>0</v>
      </c>
      <c r="Q91" s="13">
        <f>Test!G193</f>
        <v>0</v>
      </c>
      <c r="R91" s="14">
        <f t="shared" si="7"/>
        <v>0</v>
      </c>
      <c r="S91" s="13" t="e">
        <f t="shared" ref="S91:T106" si="11">P91/H91</f>
        <v>#DIV/0!</v>
      </c>
      <c r="T91" s="13" t="e">
        <f t="shared" si="11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>
      <c r="A92" s="35"/>
      <c r="B92" s="35"/>
      <c r="C92" s="35">
        <v>27</v>
      </c>
      <c r="D92" s="17">
        <f>Reference!B194</f>
        <v>0</v>
      </c>
      <c r="E92" s="18">
        <f>Reference!C194</f>
        <v>0</v>
      </c>
      <c r="F92" s="18">
        <f>Reference!D194</f>
        <v>0</v>
      </c>
      <c r="G92" s="18">
        <f>Reference!E194</f>
        <v>0</v>
      </c>
      <c r="H92" s="18">
        <f>Reference!F194</f>
        <v>0</v>
      </c>
      <c r="I92" s="18">
        <f>Reference!G194</f>
        <v>0</v>
      </c>
      <c r="J92" s="19">
        <f t="shared" si="6"/>
        <v>0</v>
      </c>
      <c r="L92" s="17">
        <f>Test!B194</f>
        <v>0</v>
      </c>
      <c r="M92" s="18">
        <f>Test!C194</f>
        <v>0</v>
      </c>
      <c r="N92" s="18">
        <f>Test!D194</f>
        <v>0</v>
      </c>
      <c r="O92" s="18">
        <f>Test!E194</f>
        <v>0</v>
      </c>
      <c r="P92" s="18">
        <f>Test!F194</f>
        <v>0</v>
      </c>
      <c r="Q92" s="18">
        <f>Test!G194</f>
        <v>0</v>
      </c>
      <c r="R92" s="19">
        <f t="shared" si="7"/>
        <v>0</v>
      </c>
      <c r="S92" s="18" t="e">
        <f t="shared" si="11"/>
        <v>#DIV/0!</v>
      </c>
      <c r="T92" s="18" t="e">
        <f t="shared" si="11"/>
        <v>#DIV/0!</v>
      </c>
      <c r="U92" s="59"/>
      <c r="V92" s="42"/>
      <c r="W92" s="25"/>
      <c r="X92" s="54"/>
      <c r="Y92" s="42"/>
      <c r="Z92" s="25"/>
      <c r="AA92" s="54"/>
    </row>
    <row r="93" spans="1:27">
      <c r="A93" s="35"/>
      <c r="B93" s="35"/>
      <c r="C93" s="35">
        <v>32</v>
      </c>
      <c r="D93" s="17">
        <f>Reference!B195</f>
        <v>0</v>
      </c>
      <c r="E93" s="18">
        <f>Reference!C195</f>
        <v>0</v>
      </c>
      <c r="F93" s="18">
        <f>Reference!D195</f>
        <v>0</v>
      </c>
      <c r="G93" s="18">
        <f>Reference!E195</f>
        <v>0</v>
      </c>
      <c r="H93" s="18">
        <f>Reference!F195</f>
        <v>0</v>
      </c>
      <c r="I93" s="18">
        <f>Reference!G195</f>
        <v>0</v>
      </c>
      <c r="J93" s="19">
        <f t="shared" si="6"/>
        <v>0</v>
      </c>
      <c r="L93" s="17">
        <f>Test!B195</f>
        <v>0</v>
      </c>
      <c r="M93" s="18">
        <f>Test!C195</f>
        <v>0</v>
      </c>
      <c r="N93" s="18">
        <f>Test!D195</f>
        <v>0</v>
      </c>
      <c r="O93" s="18">
        <f>Test!E195</f>
        <v>0</v>
      </c>
      <c r="P93" s="18">
        <f>Test!F195</f>
        <v>0</v>
      </c>
      <c r="Q93" s="18">
        <f>Test!G195</f>
        <v>0</v>
      </c>
      <c r="R93" s="19">
        <f t="shared" si="7"/>
        <v>0</v>
      </c>
      <c r="S93" s="18" t="e">
        <f t="shared" si="11"/>
        <v>#DIV/0!</v>
      </c>
      <c r="T93" s="18" t="e">
        <f t="shared" si="11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>
      <c r="A94" s="35"/>
      <c r="B94" s="36"/>
      <c r="C94" s="36">
        <v>37</v>
      </c>
      <c r="D94" s="22">
        <f>Reference!B196</f>
        <v>0</v>
      </c>
      <c r="E94" s="23">
        <f>Reference!C196</f>
        <v>0</v>
      </c>
      <c r="F94" s="23">
        <f>Reference!D196</f>
        <v>0</v>
      </c>
      <c r="G94" s="23">
        <f>Reference!E196</f>
        <v>0</v>
      </c>
      <c r="H94" s="23">
        <f>Reference!F196</f>
        <v>0</v>
      </c>
      <c r="I94" s="23">
        <f>Reference!G196</f>
        <v>0</v>
      </c>
      <c r="J94" s="24">
        <f t="shared" si="6"/>
        <v>0</v>
      </c>
      <c r="L94" s="22">
        <f>Test!B196</f>
        <v>0</v>
      </c>
      <c r="M94" s="23">
        <f>Test!C196</f>
        <v>0</v>
      </c>
      <c r="N94" s="23">
        <f>Test!D196</f>
        <v>0</v>
      </c>
      <c r="O94" s="23">
        <f>Test!E196</f>
        <v>0</v>
      </c>
      <c r="P94" s="23">
        <f>Test!F196</f>
        <v>0</v>
      </c>
      <c r="Q94" s="23">
        <f>Test!G196</f>
        <v>0</v>
      </c>
      <c r="R94" s="24">
        <f t="shared" si="7"/>
        <v>0</v>
      </c>
      <c r="S94" s="18" t="e">
        <f t="shared" si="11"/>
        <v>#DIV/0!</v>
      </c>
      <c r="T94" s="18" t="e">
        <f t="shared" si="11"/>
        <v>#DIV/0!</v>
      </c>
      <c r="U94" s="59"/>
      <c r="V94" s="43"/>
      <c r="W94" s="55"/>
      <c r="X94" s="56"/>
      <c r="Y94" s="43"/>
      <c r="Z94" s="55"/>
      <c r="AA94" s="56"/>
    </row>
    <row r="95" spans="1:27">
      <c r="A95" s="35"/>
      <c r="B95" s="34" t="s">
        <v>523</v>
      </c>
      <c r="C95" s="34">
        <v>22</v>
      </c>
      <c r="D95" s="12">
        <f>Reference!B197</f>
        <v>0</v>
      </c>
      <c r="E95" s="13">
        <f>Reference!C197</f>
        <v>0</v>
      </c>
      <c r="F95" s="13">
        <f>Reference!D197</f>
        <v>0</v>
      </c>
      <c r="G95" s="13">
        <f>Reference!E197</f>
        <v>0</v>
      </c>
      <c r="H95" s="13">
        <f>Reference!F197</f>
        <v>0</v>
      </c>
      <c r="I95" s="13">
        <f>Reference!G197</f>
        <v>0</v>
      </c>
      <c r="J95" s="14">
        <f t="shared" si="6"/>
        <v>0</v>
      </c>
      <c r="L95" s="12">
        <f>Test!B197</f>
        <v>0</v>
      </c>
      <c r="M95" s="13">
        <f>Test!C197</f>
        <v>0</v>
      </c>
      <c r="N95" s="13">
        <f>Test!D197</f>
        <v>0</v>
      </c>
      <c r="O95" s="13">
        <f>Test!E197</f>
        <v>0</v>
      </c>
      <c r="P95" s="13">
        <f>Test!F197</f>
        <v>0</v>
      </c>
      <c r="Q95" s="13">
        <f>Test!G197</f>
        <v>0</v>
      </c>
      <c r="R95" s="14">
        <f t="shared" si="7"/>
        <v>0</v>
      </c>
      <c r="S95" s="18" t="e">
        <f t="shared" si="11"/>
        <v>#DIV/0!</v>
      </c>
      <c r="T95" s="18" t="e">
        <f t="shared" si="11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>
      <c r="A96" s="35"/>
      <c r="B96" s="35"/>
      <c r="C96" s="35">
        <v>27</v>
      </c>
      <c r="D96" s="17">
        <f>Reference!B198</f>
        <v>0</v>
      </c>
      <c r="E96" s="18">
        <f>Reference!C198</f>
        <v>0</v>
      </c>
      <c r="F96" s="18">
        <f>Reference!D198</f>
        <v>0</v>
      </c>
      <c r="G96" s="18">
        <f>Reference!E198</f>
        <v>0</v>
      </c>
      <c r="H96" s="18">
        <f>Reference!F198</f>
        <v>0</v>
      </c>
      <c r="I96" s="18">
        <f>Reference!G198</f>
        <v>0</v>
      </c>
      <c r="J96" s="19">
        <f t="shared" si="6"/>
        <v>0</v>
      </c>
      <c r="L96" s="17">
        <f>Test!B198</f>
        <v>0</v>
      </c>
      <c r="M96" s="18">
        <f>Test!C198</f>
        <v>0</v>
      </c>
      <c r="N96" s="18">
        <f>Test!D198</f>
        <v>0</v>
      </c>
      <c r="O96" s="18">
        <f>Test!E198</f>
        <v>0</v>
      </c>
      <c r="P96" s="18">
        <f>Test!F198</f>
        <v>0</v>
      </c>
      <c r="Q96" s="18">
        <f>Test!G198</f>
        <v>0</v>
      </c>
      <c r="R96" s="19">
        <f t="shared" si="7"/>
        <v>0</v>
      </c>
      <c r="S96" s="18" t="e">
        <f t="shared" si="11"/>
        <v>#DIV/0!</v>
      </c>
      <c r="T96" s="18" t="e">
        <f t="shared" si="11"/>
        <v>#DIV/0!</v>
      </c>
      <c r="U96" s="59"/>
      <c r="V96" s="42"/>
      <c r="W96" s="25"/>
      <c r="X96" s="25"/>
      <c r="Y96" s="42"/>
      <c r="Z96" s="25"/>
      <c r="AA96" s="54"/>
    </row>
    <row r="97" spans="1:27">
      <c r="A97" s="35"/>
      <c r="B97" s="35"/>
      <c r="C97" s="35">
        <v>32</v>
      </c>
      <c r="D97" s="17">
        <f>Reference!B199</f>
        <v>0</v>
      </c>
      <c r="E97" s="18">
        <f>Reference!C199</f>
        <v>0</v>
      </c>
      <c r="F97" s="18">
        <f>Reference!D199</f>
        <v>0</v>
      </c>
      <c r="G97" s="18">
        <f>Reference!E199</f>
        <v>0</v>
      </c>
      <c r="H97" s="18">
        <f>Reference!F199</f>
        <v>0</v>
      </c>
      <c r="I97" s="18">
        <f>Reference!G199</f>
        <v>0</v>
      </c>
      <c r="J97" s="19">
        <f t="shared" si="6"/>
        <v>0</v>
      </c>
      <c r="L97" s="17">
        <f>Test!B199</f>
        <v>0</v>
      </c>
      <c r="M97" s="18">
        <f>Test!C199</f>
        <v>0</v>
      </c>
      <c r="N97" s="18">
        <f>Test!D199</f>
        <v>0</v>
      </c>
      <c r="O97" s="18">
        <f>Test!E199</f>
        <v>0</v>
      </c>
      <c r="P97" s="18">
        <f>Test!F199</f>
        <v>0</v>
      </c>
      <c r="Q97" s="18">
        <f>Test!G199</f>
        <v>0</v>
      </c>
      <c r="R97" s="19">
        <f t="shared" si="7"/>
        <v>0</v>
      </c>
      <c r="S97" s="18" t="e">
        <f t="shared" si="11"/>
        <v>#DIV/0!</v>
      </c>
      <c r="T97" s="18" t="e">
        <f t="shared" si="11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>
      <c r="A98" s="35"/>
      <c r="B98" s="36"/>
      <c r="C98" s="36">
        <v>37</v>
      </c>
      <c r="D98" s="22">
        <f>Reference!B200</f>
        <v>0</v>
      </c>
      <c r="E98" s="23">
        <f>Reference!C200</f>
        <v>0</v>
      </c>
      <c r="F98" s="23">
        <f>Reference!D200</f>
        <v>0</v>
      </c>
      <c r="G98" s="23">
        <f>Reference!E200</f>
        <v>0</v>
      </c>
      <c r="H98" s="23">
        <f>Reference!F200</f>
        <v>0</v>
      </c>
      <c r="I98" s="23">
        <f>Reference!G200</f>
        <v>0</v>
      </c>
      <c r="J98" s="24">
        <f t="shared" si="6"/>
        <v>0</v>
      </c>
      <c r="L98" s="22">
        <f>Test!B200</f>
        <v>0</v>
      </c>
      <c r="M98" s="23">
        <f>Test!C200</f>
        <v>0</v>
      </c>
      <c r="N98" s="23">
        <f>Test!D200</f>
        <v>0</v>
      </c>
      <c r="O98" s="23">
        <f>Test!E200</f>
        <v>0</v>
      </c>
      <c r="P98" s="23">
        <f>Test!F200</f>
        <v>0</v>
      </c>
      <c r="Q98" s="23">
        <f>Test!G200</f>
        <v>0</v>
      </c>
      <c r="R98" s="24">
        <f t="shared" si="7"/>
        <v>0</v>
      </c>
      <c r="S98" s="18" t="e">
        <f t="shared" si="11"/>
        <v>#DIV/0!</v>
      </c>
      <c r="T98" s="18" t="e">
        <f t="shared" si="11"/>
        <v>#DIV/0!</v>
      </c>
      <c r="U98" s="59"/>
      <c r="V98" s="43"/>
      <c r="W98" s="55"/>
      <c r="X98" s="55"/>
      <c r="Y98" s="43"/>
      <c r="Z98" s="55"/>
      <c r="AA98" s="56"/>
    </row>
    <row r="99" spans="1:27">
      <c r="A99" s="35"/>
      <c r="B99" s="34" t="s">
        <v>64</v>
      </c>
      <c r="C99" s="34">
        <v>22</v>
      </c>
      <c r="D99" s="12">
        <f>Reference!B201</f>
        <v>0</v>
      </c>
      <c r="E99" s="13">
        <f>Reference!C201</f>
        <v>0</v>
      </c>
      <c r="F99" s="13">
        <f>Reference!D201</f>
        <v>0</v>
      </c>
      <c r="G99" s="13">
        <f>Reference!E201</f>
        <v>0</v>
      </c>
      <c r="H99" s="13">
        <f>Reference!F201</f>
        <v>0</v>
      </c>
      <c r="I99" s="13">
        <f>Reference!G201</f>
        <v>0</v>
      </c>
      <c r="J99" s="14">
        <f t="shared" si="6"/>
        <v>0</v>
      </c>
      <c r="L99" s="12">
        <f>Test!B201</f>
        <v>0</v>
      </c>
      <c r="M99" s="13">
        <f>Test!C201</f>
        <v>0</v>
      </c>
      <c r="N99" s="13">
        <f>Test!D201</f>
        <v>0</v>
      </c>
      <c r="O99" s="13">
        <f>Test!E201</f>
        <v>0</v>
      </c>
      <c r="P99" s="13">
        <f>Test!F201</f>
        <v>0</v>
      </c>
      <c r="Q99" s="13">
        <f>Test!G201</f>
        <v>0</v>
      </c>
      <c r="R99" s="14">
        <f t="shared" si="7"/>
        <v>0</v>
      </c>
      <c r="S99" s="18" t="e">
        <f t="shared" si="11"/>
        <v>#DIV/0!</v>
      </c>
      <c r="T99" s="18" t="e">
        <f t="shared" si="11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>
      <c r="A100" s="35"/>
      <c r="B100" s="35"/>
      <c r="C100" s="35">
        <v>27</v>
      </c>
      <c r="D100" s="17">
        <f>Reference!B202</f>
        <v>0</v>
      </c>
      <c r="E100" s="18">
        <f>Reference!C202</f>
        <v>0</v>
      </c>
      <c r="F100" s="18">
        <f>Reference!D202</f>
        <v>0</v>
      </c>
      <c r="G100" s="18">
        <f>Reference!E202</f>
        <v>0</v>
      </c>
      <c r="H100" s="18">
        <f>Reference!F202</f>
        <v>0</v>
      </c>
      <c r="I100" s="18">
        <f>Reference!G202</f>
        <v>0</v>
      </c>
      <c r="J100" s="19">
        <f t="shared" si="6"/>
        <v>0</v>
      </c>
      <c r="L100" s="17">
        <f>Test!B202</f>
        <v>0</v>
      </c>
      <c r="M100" s="18">
        <f>Test!C202</f>
        <v>0</v>
      </c>
      <c r="N100" s="18">
        <f>Test!D202</f>
        <v>0</v>
      </c>
      <c r="O100" s="18">
        <f>Test!E202</f>
        <v>0</v>
      </c>
      <c r="P100" s="18">
        <f>Test!F202</f>
        <v>0</v>
      </c>
      <c r="Q100" s="18">
        <f>Test!G202</f>
        <v>0</v>
      </c>
      <c r="R100" s="19">
        <f t="shared" si="7"/>
        <v>0</v>
      </c>
      <c r="S100" s="18" t="e">
        <f t="shared" si="11"/>
        <v>#DIV/0!</v>
      </c>
      <c r="T100" s="18" t="e">
        <f t="shared" si="11"/>
        <v>#DIV/0!</v>
      </c>
      <c r="U100" s="59"/>
      <c r="V100" s="42"/>
      <c r="W100" s="25"/>
      <c r="X100" s="25"/>
      <c r="Y100" s="42"/>
      <c r="Z100" s="25"/>
      <c r="AA100" s="54"/>
    </row>
    <row r="101" spans="1:27">
      <c r="A101" s="35"/>
      <c r="B101" s="35"/>
      <c r="C101" s="35">
        <v>32</v>
      </c>
      <c r="D101" s="17">
        <f>Reference!B203</f>
        <v>0</v>
      </c>
      <c r="E101" s="18">
        <f>Reference!C203</f>
        <v>0</v>
      </c>
      <c r="F101" s="18">
        <f>Reference!D203</f>
        <v>0</v>
      </c>
      <c r="G101" s="18">
        <f>Reference!E203</f>
        <v>0</v>
      </c>
      <c r="H101" s="18">
        <f>Reference!F203</f>
        <v>0</v>
      </c>
      <c r="I101" s="18">
        <f>Reference!G203</f>
        <v>0</v>
      </c>
      <c r="J101" s="19">
        <f t="shared" si="6"/>
        <v>0</v>
      </c>
      <c r="L101" s="17">
        <f>Test!B203</f>
        <v>0</v>
      </c>
      <c r="M101" s="18">
        <f>Test!C203</f>
        <v>0</v>
      </c>
      <c r="N101" s="18">
        <f>Test!D203</f>
        <v>0</v>
      </c>
      <c r="O101" s="18">
        <f>Test!E203</f>
        <v>0</v>
      </c>
      <c r="P101" s="18">
        <f>Test!F203</f>
        <v>0</v>
      </c>
      <c r="Q101" s="18">
        <f>Test!G203</f>
        <v>0</v>
      </c>
      <c r="R101" s="19">
        <f t="shared" si="7"/>
        <v>0</v>
      </c>
      <c r="S101" s="18" t="e">
        <f t="shared" si="11"/>
        <v>#DIV/0!</v>
      </c>
      <c r="T101" s="18" t="e">
        <f t="shared" si="11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>
      <c r="A102" s="35"/>
      <c r="B102" s="36"/>
      <c r="C102" s="36">
        <v>37</v>
      </c>
      <c r="D102" s="22">
        <f>Reference!B204</f>
        <v>0</v>
      </c>
      <c r="E102" s="23">
        <f>Reference!C204</f>
        <v>0</v>
      </c>
      <c r="F102" s="23">
        <f>Reference!D204</f>
        <v>0</v>
      </c>
      <c r="G102" s="23">
        <f>Reference!E204</f>
        <v>0</v>
      </c>
      <c r="H102" s="23">
        <f>Reference!F204</f>
        <v>0</v>
      </c>
      <c r="I102" s="23">
        <f>Reference!G204</f>
        <v>0</v>
      </c>
      <c r="J102" s="24">
        <f t="shared" si="6"/>
        <v>0</v>
      </c>
      <c r="L102" s="22">
        <f>Test!B204</f>
        <v>0</v>
      </c>
      <c r="M102" s="23">
        <f>Test!C204</f>
        <v>0</v>
      </c>
      <c r="N102" s="23">
        <f>Test!D204</f>
        <v>0</v>
      </c>
      <c r="O102" s="23">
        <f>Test!E204</f>
        <v>0</v>
      </c>
      <c r="P102" s="23">
        <f>Test!F204</f>
        <v>0</v>
      </c>
      <c r="Q102" s="23">
        <f>Test!G204</f>
        <v>0</v>
      </c>
      <c r="R102" s="24">
        <f t="shared" si="7"/>
        <v>0</v>
      </c>
      <c r="S102" s="18" t="e">
        <f t="shared" si="11"/>
        <v>#DIV/0!</v>
      </c>
      <c r="T102" s="18" t="e">
        <f t="shared" si="11"/>
        <v>#DIV/0!</v>
      </c>
      <c r="U102" s="59"/>
      <c r="V102" s="43"/>
      <c r="W102" s="55"/>
      <c r="X102" s="55"/>
      <c r="Y102" s="43"/>
      <c r="Z102" s="55"/>
      <c r="AA102" s="56"/>
    </row>
    <row r="103" spans="1:27">
      <c r="A103" s="35"/>
      <c r="B103" s="34" t="s">
        <v>65</v>
      </c>
      <c r="C103" s="34">
        <v>22</v>
      </c>
      <c r="D103" s="12">
        <f>Reference!B205</f>
        <v>0</v>
      </c>
      <c r="E103" s="13">
        <f>Reference!C205</f>
        <v>0</v>
      </c>
      <c r="F103" s="13">
        <f>Reference!D205</f>
        <v>0</v>
      </c>
      <c r="G103" s="13">
        <f>Reference!E205</f>
        <v>0</v>
      </c>
      <c r="H103" s="13">
        <f>Reference!F205</f>
        <v>0</v>
      </c>
      <c r="I103" s="13">
        <f>Reference!G205</f>
        <v>0</v>
      </c>
      <c r="J103" s="14">
        <f t="shared" si="6"/>
        <v>0</v>
      </c>
      <c r="L103" s="12">
        <f>Test!B205</f>
        <v>0</v>
      </c>
      <c r="M103" s="13">
        <f>Test!C205</f>
        <v>0</v>
      </c>
      <c r="N103" s="13">
        <f>Test!D205</f>
        <v>0</v>
      </c>
      <c r="O103" s="13">
        <f>Test!E205</f>
        <v>0</v>
      </c>
      <c r="P103" s="13">
        <f>Test!F205</f>
        <v>0</v>
      </c>
      <c r="Q103" s="13">
        <f>Test!G205</f>
        <v>0</v>
      </c>
      <c r="R103" s="14">
        <f t="shared" si="7"/>
        <v>0</v>
      </c>
      <c r="S103" s="18" t="e">
        <f t="shared" si="11"/>
        <v>#DIV/0!</v>
      </c>
      <c r="T103" s="18" t="e">
        <f t="shared" si="11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>
      <c r="A104" s="35"/>
      <c r="B104" s="35"/>
      <c r="C104" s="35">
        <v>27</v>
      </c>
      <c r="D104" s="17">
        <f>Reference!B206</f>
        <v>0</v>
      </c>
      <c r="E104" s="18">
        <f>Reference!C206</f>
        <v>0</v>
      </c>
      <c r="F104" s="18">
        <f>Reference!D206</f>
        <v>0</v>
      </c>
      <c r="G104" s="18">
        <f>Reference!E206</f>
        <v>0</v>
      </c>
      <c r="H104" s="18">
        <f>Reference!F206</f>
        <v>0</v>
      </c>
      <c r="I104" s="18">
        <f>Reference!G206</f>
        <v>0</v>
      </c>
      <c r="J104" s="19">
        <f t="shared" si="6"/>
        <v>0</v>
      </c>
      <c r="L104" s="17">
        <f>Test!B206</f>
        <v>0</v>
      </c>
      <c r="M104" s="18">
        <f>Test!C206</f>
        <v>0</v>
      </c>
      <c r="N104" s="18">
        <f>Test!D206</f>
        <v>0</v>
      </c>
      <c r="O104" s="18">
        <f>Test!E206</f>
        <v>0</v>
      </c>
      <c r="P104" s="18">
        <f>Test!F206</f>
        <v>0</v>
      </c>
      <c r="Q104" s="18">
        <f>Test!G206</f>
        <v>0</v>
      </c>
      <c r="R104" s="19">
        <f t="shared" si="7"/>
        <v>0</v>
      </c>
      <c r="S104" s="18" t="e">
        <f t="shared" si="11"/>
        <v>#DIV/0!</v>
      </c>
      <c r="T104" s="18" t="e">
        <f t="shared" si="11"/>
        <v>#DIV/0!</v>
      </c>
      <c r="U104" s="59"/>
      <c r="V104" s="42"/>
      <c r="W104" s="25"/>
      <c r="X104" s="25"/>
      <c r="Y104" s="42"/>
      <c r="Z104" s="25"/>
      <c r="AA104" s="54"/>
    </row>
    <row r="105" spans="1:27">
      <c r="A105" s="35"/>
      <c r="B105" s="35"/>
      <c r="C105" s="35">
        <v>32</v>
      </c>
      <c r="D105" s="17">
        <f>Reference!B207</f>
        <v>0</v>
      </c>
      <c r="E105" s="18">
        <f>Reference!C207</f>
        <v>0</v>
      </c>
      <c r="F105" s="18">
        <f>Reference!D207</f>
        <v>0</v>
      </c>
      <c r="G105" s="18">
        <f>Reference!E207</f>
        <v>0</v>
      </c>
      <c r="H105" s="18">
        <f>Reference!F207</f>
        <v>0</v>
      </c>
      <c r="I105" s="18">
        <f>Reference!G207</f>
        <v>0</v>
      </c>
      <c r="J105" s="19">
        <f t="shared" si="6"/>
        <v>0</v>
      </c>
      <c r="L105" s="17">
        <f>Test!B207</f>
        <v>0</v>
      </c>
      <c r="M105" s="18">
        <f>Test!C207</f>
        <v>0</v>
      </c>
      <c r="N105" s="18">
        <f>Test!D207</f>
        <v>0</v>
      </c>
      <c r="O105" s="18">
        <f>Test!E207</f>
        <v>0</v>
      </c>
      <c r="P105" s="18">
        <f>Test!F207</f>
        <v>0</v>
      </c>
      <c r="Q105" s="18">
        <f>Test!G207</f>
        <v>0</v>
      </c>
      <c r="R105" s="19">
        <f t="shared" si="7"/>
        <v>0</v>
      </c>
      <c r="S105" s="18" t="e">
        <f t="shared" si="11"/>
        <v>#DIV/0!</v>
      </c>
      <c r="T105" s="18" t="e">
        <f t="shared" si="11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>
      <c r="A106" s="36"/>
      <c r="B106" s="36"/>
      <c r="C106" s="36">
        <v>37</v>
      </c>
      <c r="D106" s="22">
        <f>Reference!B208</f>
        <v>0</v>
      </c>
      <c r="E106" s="23">
        <f>Reference!C208</f>
        <v>0</v>
      </c>
      <c r="F106" s="23">
        <f>Reference!D208</f>
        <v>0</v>
      </c>
      <c r="G106" s="23">
        <f>Reference!E208</f>
        <v>0</v>
      </c>
      <c r="H106" s="23">
        <f>Reference!F208</f>
        <v>0</v>
      </c>
      <c r="I106" s="23">
        <f>Reference!G208</f>
        <v>0</v>
      </c>
      <c r="J106" s="24">
        <f t="shared" si="6"/>
        <v>0</v>
      </c>
      <c r="L106" s="22">
        <f>Test!B208</f>
        <v>0</v>
      </c>
      <c r="M106" s="23">
        <f>Test!C208</f>
        <v>0</v>
      </c>
      <c r="N106" s="23">
        <f>Test!D208</f>
        <v>0</v>
      </c>
      <c r="O106" s="23">
        <f>Test!E208</f>
        <v>0</v>
      </c>
      <c r="P106" s="23">
        <f>Test!F208</f>
        <v>0</v>
      </c>
      <c r="Q106" s="23">
        <f>Test!G208</f>
        <v>0</v>
      </c>
      <c r="R106" s="24">
        <f t="shared" si="7"/>
        <v>0</v>
      </c>
      <c r="S106" s="23" t="e">
        <f t="shared" si="11"/>
        <v>#DIV/0!</v>
      </c>
      <c r="T106" s="23" t="e">
        <f t="shared" si="11"/>
        <v>#DIV/0!</v>
      </c>
      <c r="U106" s="60"/>
      <c r="V106" s="43"/>
      <c r="W106" s="55"/>
      <c r="X106" s="55"/>
      <c r="Y106" s="43"/>
      <c r="Z106" s="55"/>
      <c r="AA106" s="56"/>
    </row>
    <row r="107" spans="1:27">
      <c r="B107" s="1" t="s">
        <v>72</v>
      </c>
      <c r="I107" s="15">
        <f>GEOMEAN(I3:I14)</f>
        <v>101.8208554746266</v>
      </c>
      <c r="J107" s="15">
        <f>GEOMEAN(J3:J14)</f>
        <v>45.086032020363568</v>
      </c>
      <c r="Q107" s="15">
        <f>GEOMEAN(Q3:Q14)</f>
        <v>107.73827561004661</v>
      </c>
      <c r="R107" s="15">
        <f>GEOMEAN(R3:R14)</f>
        <v>58.870565123428797</v>
      </c>
      <c r="S107" s="15">
        <f>GEOMEAN(S3:S14)</f>
        <v>1.305738440163448</v>
      </c>
      <c r="T107" s="15">
        <f>GEOMEAN(T3:T14)</f>
        <v>1.0581159931119868</v>
      </c>
      <c r="V107" s="41">
        <f t="shared" ref="V107:AA107" si="12">AVERAGE(V3:V14)</f>
        <v>-1.0431733233195462E-2</v>
      </c>
      <c r="W107" s="46">
        <f t="shared" si="12"/>
        <v>6.5251589302069612E-4</v>
      </c>
      <c r="X107" s="46">
        <f t="shared" si="12"/>
        <v>1.2958657687897057E-3</v>
      </c>
      <c r="Y107" s="41">
        <f t="shared" si="12"/>
        <v>-1.0698189489893021E-2</v>
      </c>
      <c r="Z107" s="46">
        <f t="shared" si="12"/>
        <v>5.4198800929450286E-4</v>
      </c>
      <c r="AA107" s="47">
        <f t="shared" si="12"/>
        <v>1.2670452308041942E-3</v>
      </c>
    </row>
    <row r="108" spans="1:27">
      <c r="B108" s="1" t="s">
        <v>73</v>
      </c>
      <c r="I108" s="15">
        <f>GEOMEAN(I15:I26)</f>
        <v>114.55515474889204</v>
      </c>
      <c r="J108" s="15">
        <f>GEOMEAN(J15:J26)</f>
        <v>37.79760186253835</v>
      </c>
      <c r="Q108" s="15">
        <f>GEOMEAN(Q15:Q26)</f>
        <v>108.78365145516908</v>
      </c>
      <c r="R108" s="15">
        <f>GEOMEAN(R15:R26)</f>
        <v>49.878793634273592</v>
      </c>
      <c r="S108" s="15">
        <f>GEOMEAN(S15:S26)</f>
        <v>1.3196285260549574</v>
      </c>
      <c r="T108" s="15">
        <f>GEOMEAN(T15:T26)</f>
        <v>0.94961812668863088</v>
      </c>
      <c r="V108" s="44">
        <f t="shared" ref="V108:AA108" si="13">AVERAGE(V15:V26)</f>
        <v>-1.6626382552257863E-2</v>
      </c>
      <c r="W108" s="48">
        <f t="shared" si="13"/>
        <v>-2.7688609573922238E-3</v>
      </c>
      <c r="X108" s="48">
        <f t="shared" si="13"/>
        <v>-1.3334635728329269E-3</v>
      </c>
      <c r="Y108" s="44">
        <f t="shared" si="13"/>
        <v>-1.6960182813533436E-2</v>
      </c>
      <c r="Z108" s="48">
        <f t="shared" si="13"/>
        <v>-2.9313134814066277E-3</v>
      </c>
      <c r="AA108" s="49">
        <f t="shared" si="13"/>
        <v>-1.2700120451906531E-3</v>
      </c>
    </row>
    <row r="109" spans="1:27">
      <c r="B109" s="1" t="s">
        <v>1</v>
      </c>
      <c r="I109" s="15">
        <f>GEOMEAN(I27:I46)</f>
        <v>44.137357232931635</v>
      </c>
      <c r="J109" s="15">
        <f>GEOMEAN(J27:J46)</f>
        <v>14.799376683643063</v>
      </c>
      <c r="Q109" s="15">
        <f>GEOMEAN(Q27:Q46)</f>
        <v>45.042834350408704</v>
      </c>
      <c r="R109" s="15">
        <f>GEOMEAN(R27:R46)</f>
        <v>20.290646491122935</v>
      </c>
      <c r="S109" s="15">
        <f t="shared" ref="S109:T109" si="14">GEOMEAN(S27:S46)</f>
        <v>1.3710473707685997</v>
      </c>
      <c r="T109" s="15">
        <f t="shared" si="14"/>
        <v>1.0205149826415407</v>
      </c>
      <c r="V109" s="44">
        <f>AVERAGE(V27:V46)</f>
        <v>-1.588628799228773E-2</v>
      </c>
      <c r="W109" s="48">
        <f t="shared" ref="W109:AA109" si="15">AVERAGE(W27:W46)</f>
        <v>-1.8455728872281529E-3</v>
      </c>
      <c r="X109" s="48">
        <f t="shared" si="15"/>
        <v>-1.3381481814285002E-3</v>
      </c>
      <c r="Y109" s="44">
        <f t="shared" si="15"/>
        <v>-1.5621499112799354E-2</v>
      </c>
      <c r="Z109" s="48">
        <f t="shared" si="15"/>
        <v>-1.8455832507101588E-3</v>
      </c>
      <c r="AA109" s="49">
        <f t="shared" si="15"/>
        <v>-1.4381065968582796E-3</v>
      </c>
    </row>
    <row r="110" spans="1:27">
      <c r="B110" s="1" t="s">
        <v>5</v>
      </c>
      <c r="I110" s="15">
        <f>GEOMEAN(I47:I62)</f>
        <v>7.262557265036917</v>
      </c>
      <c r="J110" s="15">
        <f>GEOMEAN(J47:J62)</f>
        <v>2.6915092604300597</v>
      </c>
      <c r="Q110" s="15">
        <f>GEOMEAN(Q47:Q62)</f>
        <v>7.395533855344218</v>
      </c>
      <c r="R110" s="15">
        <f>GEOMEAN(R47:R62)</f>
        <v>3.7846468263540247</v>
      </c>
      <c r="S110" s="15">
        <f t="shared" ref="S110:T110" si="16">GEOMEAN(S47:S62)</f>
        <v>1.4061429704125559</v>
      </c>
      <c r="T110" s="15">
        <f t="shared" si="16"/>
        <v>1.018309885272433</v>
      </c>
      <c r="V110" s="44">
        <f>AVERAGE(V47:V62)</f>
        <v>-9.5336603381240836E-3</v>
      </c>
      <c r="W110" s="48">
        <f t="shared" ref="W110:AA110" si="17">AVERAGE(W47:W62)</f>
        <v>3.0644774826467103E-3</v>
      </c>
      <c r="X110" s="48">
        <f t="shared" si="17"/>
        <v>1.6892082485173432E-3</v>
      </c>
      <c r="Y110" s="44">
        <f t="shared" si="17"/>
        <v>-9.5021995893183053E-3</v>
      </c>
      <c r="Z110" s="48">
        <f t="shared" si="17"/>
        <v>2.9095916616344863E-3</v>
      </c>
      <c r="AA110" s="49">
        <f t="shared" si="17"/>
        <v>1.5234450964016488E-3</v>
      </c>
    </row>
    <row r="111" spans="1:27">
      <c r="B111" s="1" t="s">
        <v>6</v>
      </c>
      <c r="I111" s="15">
        <f>GEOMEAN(I63:I78)</f>
        <v>2.2161686635920925</v>
      </c>
      <c r="J111" s="15">
        <f>GEOMEAN(J63:J78)</f>
        <v>0.61770142166082165</v>
      </c>
      <c r="Q111" s="15">
        <f>GEOMEAN(Q63:Q78)</f>
        <v>2.2785151990718431</v>
      </c>
      <c r="R111" s="15">
        <f>GEOMEAN(R63:R78)</f>
        <v>0.88175029452052389</v>
      </c>
      <c r="S111" s="15">
        <f t="shared" ref="S111:T111" si="18">GEOMEAN(S63:S78)</f>
        <v>1.4274700747000884</v>
      </c>
      <c r="T111" s="15">
        <f t="shared" si="18"/>
        <v>1.0281325769577012</v>
      </c>
      <c r="V111" s="44">
        <f>AVERAGE(V63:V78)</f>
        <v>-8.2599665956789581E-3</v>
      </c>
      <c r="W111" s="48">
        <f t="shared" ref="W111:AA111" si="19">AVERAGE(W63:W78)</f>
        <v>3.8295969970940091E-3</v>
      </c>
      <c r="X111" s="48">
        <f t="shared" si="19"/>
        <v>3.8296149446878369E-3</v>
      </c>
      <c r="Y111" s="44">
        <f t="shared" si="19"/>
        <v>-8.2231119675721664E-3</v>
      </c>
      <c r="Z111" s="48">
        <f t="shared" si="19"/>
        <v>3.6176535264016429E-3</v>
      </c>
      <c r="AA111" s="49">
        <f t="shared" si="19"/>
        <v>4.2546670319155433E-3</v>
      </c>
    </row>
    <row r="112" spans="1:27">
      <c r="B112" s="1" t="s">
        <v>7</v>
      </c>
      <c r="I112" s="15"/>
      <c r="J112" s="15"/>
      <c r="Q112" s="15">
        <f>GEOMEAN(Q64:Q79)</f>
        <v>2.5034366106716073</v>
      </c>
      <c r="R112" s="15">
        <f>GEOMEAN(R64:R79)</f>
        <v>0.9534161982878</v>
      </c>
      <c r="S112" s="15">
        <f>GEOMEAN(S79:S90)</f>
        <v>1.4268375304586658</v>
      </c>
      <c r="T112" s="15">
        <f>GEOMEAN(T79:T90)</f>
        <v>1.0266415781534444</v>
      </c>
      <c r="V112" s="44">
        <f>AVERAGE(V79:V90)</f>
        <v>-2.5299104845171949E-2</v>
      </c>
      <c r="W112" s="48">
        <f t="shared" ref="W112:AA112" si="20">AVERAGE(W79:W90)</f>
        <v>-9.6221426658988918E-3</v>
      </c>
      <c r="X112" s="48">
        <f t="shared" si="20"/>
        <v>-8.7769090910647298E-3</v>
      </c>
      <c r="Y112" s="44">
        <f t="shared" si="20"/>
        <v>-2.5101098025350026E-2</v>
      </c>
      <c r="Z112" s="48">
        <f t="shared" si="20"/>
        <v>-9.8227750672508964E-3</v>
      </c>
      <c r="AA112" s="49">
        <f t="shared" si="20"/>
        <v>-8.8434629997397405E-3</v>
      </c>
    </row>
    <row r="113" spans="1:27" ht="12.75" thickBot="1">
      <c r="B113" s="1" t="s">
        <v>44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21">GEOMEAN(S91:S106)</f>
        <v>#DIV/0!</v>
      </c>
      <c r="T113" s="15" t="e">
        <f t="shared" si="21"/>
        <v>#DIV/0!</v>
      </c>
      <c r="V113" s="44" t="e">
        <f>AVERAGE(V91:V106)</f>
        <v>#VALUE!</v>
      </c>
      <c r="W113" s="48" t="e">
        <f t="shared" ref="W113:AA113" si="22">AVERAGE(W91:W106)</f>
        <v>#VALUE!</v>
      </c>
      <c r="X113" s="48" t="e">
        <f t="shared" si="22"/>
        <v>#VALUE!</v>
      </c>
      <c r="Y113" s="44" t="e">
        <f t="shared" si="22"/>
        <v>#VALUE!</v>
      </c>
      <c r="Z113" s="48" t="e">
        <f t="shared" si="22"/>
        <v>#VALUE!</v>
      </c>
      <c r="AA113" s="49" t="e">
        <f t="shared" si="22"/>
        <v>#VALUE!</v>
      </c>
    </row>
    <row r="114" spans="1:27" ht="12.75" thickBot="1">
      <c r="A114" s="3"/>
      <c r="B114" s="4" t="s">
        <v>8</v>
      </c>
      <c r="C114" s="4"/>
      <c r="D114" s="4"/>
      <c r="E114" s="4"/>
      <c r="F114" s="4"/>
      <c r="G114" s="4"/>
      <c r="H114" s="4"/>
      <c r="I114" s="61">
        <f>GEOMEAN(I3:I62,I79:I90)</f>
        <v>31.947882454128305</v>
      </c>
      <c r="J114" s="61">
        <f>GEOMEAN(J3:J62,J79:J90)</f>
        <v>10.352460390229462</v>
      </c>
      <c r="K114" s="4"/>
      <c r="L114" s="4"/>
      <c r="M114" s="4"/>
      <c r="N114" s="4"/>
      <c r="O114" s="4"/>
      <c r="P114" s="4"/>
      <c r="Q114" s="61">
        <f>GEOMEAN(Q3:Q62,Q79:Q90)</f>
        <v>32.425986420730773</v>
      </c>
      <c r="R114" s="61">
        <f>GEOMEAN(R3:R62,R79:R90)</f>
        <v>14.16194424290669</v>
      </c>
      <c r="S114" s="61">
        <f t="shared" ref="S114:T114" si="23">GEOMEAN(S3:S62,S79:S90)</f>
        <v>1.3679785972687784</v>
      </c>
      <c r="T114" s="61">
        <f t="shared" si="23"/>
        <v>1.0149651222514964</v>
      </c>
      <c r="U114" s="4"/>
      <c r="V114" s="45">
        <f>AVERAGE(V3:V62,V79:V90)</f>
        <v>-1.5257652400322822E-2</v>
      </c>
      <c r="W114" s="50">
        <f t="shared" ref="W114:AA114" si="24">AVERAGE(W3:W62,W79:W90)</f>
        <v>-1.7880787609091768E-3</v>
      </c>
      <c r="X114" s="50">
        <f t="shared" si="24"/>
        <v>-1.4654126999109434E-3</v>
      </c>
      <c r="Y114" s="45">
        <f t="shared" si="24"/>
        <v>-1.5244150272644412E-2</v>
      </c>
      <c r="Z114" s="50">
        <f t="shared" si="24"/>
        <v>-1.9014361791723283E-3</v>
      </c>
      <c r="AA114" s="51">
        <f t="shared" si="24"/>
        <v>-1.5353356689479668E-3</v>
      </c>
    </row>
    <row r="115" spans="1:27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>
      <c r="B117" s="1" t="s">
        <v>11</v>
      </c>
      <c r="I117" s="26"/>
      <c r="J117" s="26"/>
      <c r="Q117" s="26"/>
      <c r="R117" s="26"/>
      <c r="S117" s="26"/>
      <c r="T117" s="26"/>
    </row>
    <row r="118" spans="1:27">
      <c r="V118" s="39"/>
      <c r="W118" s="39"/>
      <c r="X118" s="39"/>
    </row>
    <row r="119" spans="1:27">
      <c r="V119" s="39">
        <f>AVERAGE(V3,V15,V35,V39,V47,V51,V79)</f>
        <v>-1.3180593195303816E-2</v>
      </c>
      <c r="W119" s="39">
        <f t="shared" ref="W119:X119" si="25">AVERAGE(W3,W15,W35,W39,W47,W51,W79)</f>
        <v>-1.5252266405890724E-3</v>
      </c>
      <c r="X119" s="39">
        <f t="shared" si="25"/>
        <v>-4.4341008440172491E-4</v>
      </c>
    </row>
    <row r="120" spans="1:27">
      <c r="V120" s="39">
        <f>AVERAGE(V7,V11,V19,V23,V27,V31,V43,V55,V59,V83,V87)</f>
        <v>-1.6579417348971281E-2</v>
      </c>
      <c r="W120" s="39">
        <f t="shared" ref="W120:X120" si="26">AVERAGE(W7,W11,W19,W23,W27,W31,W43,W55,W59,W83,W87)</f>
        <v>-1.9553482920219704E-3</v>
      </c>
      <c r="X120" s="39">
        <f t="shared" si="26"/>
        <v>-2.115778000689537E-3</v>
      </c>
    </row>
  </sheetData>
  <mergeCells count="4">
    <mergeCell ref="D1:J1"/>
    <mergeCell ref="L1:R1"/>
    <mergeCell ref="V1:X1"/>
    <mergeCell ref="Y1:AA1"/>
  </mergeCells>
  <conditionalFormatting sqref="AA7">
    <cfRule type="cellIs" dxfId="719" priority="557" operator="greaterThan">
      <formula>0.03</formula>
    </cfRule>
    <cfRule type="cellIs" dxfId="718" priority="558" stopIfTrue="1" operator="lessThan">
      <formula>-0.03</formula>
    </cfRule>
  </conditionalFormatting>
  <conditionalFormatting sqref="Z11">
    <cfRule type="cellIs" dxfId="717" priority="553" operator="greaterThan">
      <formula>0.03</formula>
    </cfRule>
    <cfRule type="cellIs" dxfId="716" priority="554" stopIfTrue="1" operator="lessThan">
      <formula>-0.03</formula>
    </cfRule>
  </conditionalFormatting>
  <conditionalFormatting sqref="Y6:Z6">
    <cfRule type="cellIs" dxfId="715" priority="543" operator="greaterThan">
      <formula>0.03</formula>
    </cfRule>
    <cfRule type="cellIs" dxfId="714" priority="544" stopIfTrue="1" operator="lessThan">
      <formula>-0.03</formula>
    </cfRule>
  </conditionalFormatting>
  <conditionalFormatting sqref="Y14:Z14">
    <cfRule type="cellIs" dxfId="713" priority="539" operator="greaterThan">
      <formula>0.03</formula>
    </cfRule>
    <cfRule type="cellIs" dxfId="712" priority="540" stopIfTrue="1" operator="lessThan">
      <formula>-0.03</formula>
    </cfRule>
  </conditionalFormatting>
  <conditionalFormatting sqref="V114:AA114">
    <cfRule type="cellIs" dxfId="711" priority="495" operator="greaterThan">
      <formula>0.03</formula>
    </cfRule>
    <cfRule type="cellIs" dxfId="710" priority="496" stopIfTrue="1" operator="lessThan">
      <formula>-0.03</formula>
    </cfRule>
  </conditionalFormatting>
  <conditionalFormatting sqref="Y23">
    <cfRule type="cellIs" dxfId="709" priority="457" operator="greaterThan">
      <formula>0.03</formula>
    </cfRule>
    <cfRule type="cellIs" dxfId="708" priority="458" stopIfTrue="1" operator="lessThan">
      <formula>-0.03</formula>
    </cfRule>
  </conditionalFormatting>
  <conditionalFormatting sqref="Z19">
    <cfRule type="cellIs" dxfId="707" priority="461" operator="greaterThan">
      <formula>0.03</formula>
    </cfRule>
    <cfRule type="cellIs" dxfId="706" priority="462" stopIfTrue="1" operator="lessThan">
      <formula>-0.03</formula>
    </cfRule>
  </conditionalFormatting>
  <conditionalFormatting sqref="AA19">
    <cfRule type="cellIs" dxfId="705" priority="459" operator="greaterThan">
      <formula>0.03</formula>
    </cfRule>
    <cfRule type="cellIs" dxfId="704" priority="460" stopIfTrue="1" operator="lessThan">
      <formula>-0.03</formula>
    </cfRule>
  </conditionalFormatting>
  <conditionalFormatting sqref="Z35">
    <cfRule type="cellIs" dxfId="703" priority="367" operator="greaterThan">
      <formula>0.03</formula>
    </cfRule>
    <cfRule type="cellIs" dxfId="702" priority="368" stopIfTrue="1" operator="lessThan">
      <formula>-0.03</formula>
    </cfRule>
  </conditionalFormatting>
  <conditionalFormatting sqref="Y31">
    <cfRule type="cellIs" dxfId="701" priority="375" operator="greaterThan">
      <formula>0.03</formula>
    </cfRule>
    <cfRule type="cellIs" dxfId="700" priority="376" stopIfTrue="1" operator="lessThan">
      <formula>-0.03</formula>
    </cfRule>
  </conditionalFormatting>
  <conditionalFormatting sqref="AA27">
    <cfRule type="cellIs" dxfId="699" priority="391" operator="greaterThan">
      <formula>0.03</formula>
    </cfRule>
    <cfRule type="cellIs" dxfId="698" priority="392" stopIfTrue="1" operator="lessThan">
      <formula>-0.03</formula>
    </cfRule>
  </conditionalFormatting>
  <conditionalFormatting sqref="Y30:Z30">
    <cfRule type="cellIs" dxfId="697" priority="389" operator="greaterThan">
      <formula>0.03</formula>
    </cfRule>
    <cfRule type="cellIs" dxfId="696" priority="390" stopIfTrue="1" operator="lessThan">
      <formula>-0.03</formula>
    </cfRule>
  </conditionalFormatting>
  <conditionalFormatting sqref="AA35">
    <cfRule type="cellIs" dxfId="695" priority="365" operator="greaterThan">
      <formula>0.03</formula>
    </cfRule>
    <cfRule type="cellIs" dxfId="694" priority="366" stopIfTrue="1" operator="lessThan">
      <formula>-0.03</formula>
    </cfRule>
  </conditionalFormatting>
  <conditionalFormatting sqref="Y34:Z34">
    <cfRule type="cellIs" dxfId="693" priority="363" operator="greaterThan">
      <formula>0.03</formula>
    </cfRule>
    <cfRule type="cellIs" dxfId="692" priority="364" stopIfTrue="1" operator="lessThan">
      <formula>-0.03</formula>
    </cfRule>
  </conditionalFormatting>
  <conditionalFormatting sqref="Y38:Z38">
    <cfRule type="cellIs" dxfId="691" priority="361" operator="greaterThan">
      <formula>0.03</formula>
    </cfRule>
    <cfRule type="cellIs" dxfId="690" priority="362" stopIfTrue="1" operator="lessThan">
      <formula>-0.03</formula>
    </cfRule>
  </conditionalFormatting>
  <conditionalFormatting sqref="V31:X38">
    <cfRule type="cellIs" dxfId="689" priority="377" operator="greaterThan">
      <formula>0.03</formula>
    </cfRule>
    <cfRule type="cellIs" dxfId="688" priority="378" stopIfTrue="1" operator="lessThan">
      <formula>-0.03</formula>
    </cfRule>
  </conditionalFormatting>
  <conditionalFormatting sqref="Z31">
    <cfRule type="cellIs" dxfId="687" priority="373" operator="greaterThan">
      <formula>0.03</formula>
    </cfRule>
    <cfRule type="cellIs" dxfId="686" priority="374" stopIfTrue="1" operator="lessThan">
      <formula>-0.03</formula>
    </cfRule>
  </conditionalFormatting>
  <conditionalFormatting sqref="AA31">
    <cfRule type="cellIs" dxfId="685" priority="371" operator="greaterThan">
      <formula>0.03</formula>
    </cfRule>
    <cfRule type="cellIs" dxfId="684" priority="372" stopIfTrue="1" operator="lessThan">
      <formula>-0.03</formula>
    </cfRule>
  </conditionalFormatting>
  <conditionalFormatting sqref="Y35">
    <cfRule type="cellIs" dxfId="683" priority="369" operator="greaterThan">
      <formula>0.03</formula>
    </cfRule>
    <cfRule type="cellIs" dxfId="682" priority="370" stopIfTrue="1" operator="lessThan">
      <formula>-0.03</formula>
    </cfRule>
  </conditionalFormatting>
  <conditionalFormatting sqref="V39:X46">
    <cfRule type="cellIs" dxfId="681" priority="339" operator="greaterThan">
      <formula>0.03</formula>
    </cfRule>
    <cfRule type="cellIs" dxfId="680" priority="340" stopIfTrue="1" operator="lessThan">
      <formula>-0.03</formula>
    </cfRule>
  </conditionalFormatting>
  <conditionalFormatting sqref="Y39">
    <cfRule type="cellIs" dxfId="679" priority="337" operator="greaterThan">
      <formula>0.03</formula>
    </cfRule>
    <cfRule type="cellIs" dxfId="678" priority="338" stopIfTrue="1" operator="lessThan">
      <formula>-0.03</formula>
    </cfRule>
  </conditionalFormatting>
  <conditionalFormatting sqref="Z39">
    <cfRule type="cellIs" dxfId="677" priority="335" operator="greaterThan">
      <formula>0.03</formula>
    </cfRule>
    <cfRule type="cellIs" dxfId="676" priority="336" stopIfTrue="1" operator="lessThan">
      <formula>-0.03</formula>
    </cfRule>
  </conditionalFormatting>
  <conditionalFormatting sqref="AA39">
    <cfRule type="cellIs" dxfId="675" priority="333" operator="greaterThan">
      <formula>0.03</formula>
    </cfRule>
    <cfRule type="cellIs" dxfId="674" priority="334" stopIfTrue="1" operator="lessThan">
      <formula>-0.03</formula>
    </cfRule>
  </conditionalFormatting>
  <conditionalFormatting sqref="Y43">
    <cfRule type="cellIs" dxfId="673" priority="331" operator="greaterThan">
      <formula>0.03</formula>
    </cfRule>
    <cfRule type="cellIs" dxfId="672" priority="332" stopIfTrue="1" operator="lessThan">
      <formula>-0.03</formula>
    </cfRule>
  </conditionalFormatting>
  <conditionalFormatting sqref="Z43">
    <cfRule type="cellIs" dxfId="671" priority="329" operator="greaterThan">
      <formula>0.03</formula>
    </cfRule>
    <cfRule type="cellIs" dxfId="670" priority="330" stopIfTrue="1" operator="lessThan">
      <formula>-0.03</formula>
    </cfRule>
  </conditionalFormatting>
  <conditionalFormatting sqref="AA43">
    <cfRule type="cellIs" dxfId="669" priority="327" operator="greaterThan">
      <formula>0.03</formula>
    </cfRule>
    <cfRule type="cellIs" dxfId="668" priority="328" stopIfTrue="1" operator="lessThan">
      <formula>-0.03</formula>
    </cfRule>
  </conditionalFormatting>
  <conditionalFormatting sqref="Y42:Z42">
    <cfRule type="cellIs" dxfId="667" priority="325" operator="greaterThan">
      <formula>0.03</formula>
    </cfRule>
    <cfRule type="cellIs" dxfId="666" priority="326" stopIfTrue="1" operator="lessThan">
      <formula>-0.03</formula>
    </cfRule>
  </conditionalFormatting>
  <conditionalFormatting sqref="Y46:Z46">
    <cfRule type="cellIs" dxfId="665" priority="323" operator="greaterThan">
      <formula>0.03</formula>
    </cfRule>
    <cfRule type="cellIs" dxfId="664" priority="324" stopIfTrue="1" operator="lessThan">
      <formula>-0.03</formula>
    </cfRule>
  </conditionalFormatting>
  <conditionalFormatting sqref="V47:X62">
    <cfRule type="cellIs" dxfId="663" priority="301" operator="greaterThan">
      <formula>0.03</formula>
    </cfRule>
    <cfRule type="cellIs" dxfId="662" priority="302" stopIfTrue="1" operator="lessThan">
      <formula>-0.03</formula>
    </cfRule>
  </conditionalFormatting>
  <conditionalFormatting sqref="Y47">
    <cfRule type="cellIs" dxfId="661" priority="299" operator="greaterThan">
      <formula>0.03</formula>
    </cfRule>
    <cfRule type="cellIs" dxfId="660" priority="300" stopIfTrue="1" operator="lessThan">
      <formula>-0.03</formula>
    </cfRule>
  </conditionalFormatting>
  <conditionalFormatting sqref="Z47">
    <cfRule type="cellIs" dxfId="659" priority="297" operator="greaterThan">
      <formula>0.03</formula>
    </cfRule>
    <cfRule type="cellIs" dxfId="658" priority="298" stopIfTrue="1" operator="lessThan">
      <formula>-0.03</formula>
    </cfRule>
  </conditionalFormatting>
  <conditionalFormatting sqref="AA47">
    <cfRule type="cellIs" dxfId="657" priority="295" operator="greaterThan">
      <formula>0.03</formula>
    </cfRule>
    <cfRule type="cellIs" dxfId="656" priority="296" stopIfTrue="1" operator="lessThan">
      <formula>-0.03</formula>
    </cfRule>
  </conditionalFormatting>
  <conditionalFormatting sqref="Y51">
    <cfRule type="cellIs" dxfId="655" priority="293" operator="greaterThan">
      <formula>0.03</formula>
    </cfRule>
    <cfRule type="cellIs" dxfId="654" priority="294" stopIfTrue="1" operator="lessThan">
      <formula>-0.03</formula>
    </cfRule>
  </conditionalFormatting>
  <conditionalFormatting sqref="Z51">
    <cfRule type="cellIs" dxfId="653" priority="291" operator="greaterThan">
      <formula>0.03</formula>
    </cfRule>
    <cfRule type="cellIs" dxfId="652" priority="292" stopIfTrue="1" operator="lessThan">
      <formula>-0.03</formula>
    </cfRule>
  </conditionalFormatting>
  <conditionalFormatting sqref="AA51">
    <cfRule type="cellIs" dxfId="651" priority="289" operator="greaterThan">
      <formula>0.03</formula>
    </cfRule>
    <cfRule type="cellIs" dxfId="650" priority="290" stopIfTrue="1" operator="lessThan">
      <formula>-0.03</formula>
    </cfRule>
  </conditionalFormatting>
  <conditionalFormatting sqref="Y55">
    <cfRule type="cellIs" dxfId="649" priority="287" operator="greaterThan">
      <formula>0.03</formula>
    </cfRule>
    <cfRule type="cellIs" dxfId="648" priority="288" stopIfTrue="1" operator="lessThan">
      <formula>-0.03</formula>
    </cfRule>
  </conditionalFormatting>
  <conditionalFormatting sqref="Z55">
    <cfRule type="cellIs" dxfId="647" priority="285" operator="greaterThan">
      <formula>0.03</formula>
    </cfRule>
    <cfRule type="cellIs" dxfId="646" priority="286" stopIfTrue="1" operator="lessThan">
      <formula>-0.03</formula>
    </cfRule>
  </conditionalFormatting>
  <conditionalFormatting sqref="AA55">
    <cfRule type="cellIs" dxfId="645" priority="283" operator="greaterThan">
      <formula>0.03</formula>
    </cfRule>
    <cfRule type="cellIs" dxfId="644" priority="284" stopIfTrue="1" operator="lessThan">
      <formula>-0.03</formula>
    </cfRule>
  </conditionalFormatting>
  <conditionalFormatting sqref="Y59">
    <cfRule type="cellIs" dxfId="643" priority="281" operator="greaterThan">
      <formula>0.03</formula>
    </cfRule>
    <cfRule type="cellIs" dxfId="642" priority="282" stopIfTrue="1" operator="lessThan">
      <formula>-0.03</formula>
    </cfRule>
  </conditionalFormatting>
  <conditionalFormatting sqref="Z59">
    <cfRule type="cellIs" dxfId="641" priority="279" operator="greaterThan">
      <formula>0.03</formula>
    </cfRule>
    <cfRule type="cellIs" dxfId="640" priority="280" stopIfTrue="1" operator="lessThan">
      <formula>-0.03</formula>
    </cfRule>
  </conditionalFormatting>
  <conditionalFormatting sqref="AA59">
    <cfRule type="cellIs" dxfId="639" priority="277" operator="greaterThan">
      <formula>0.03</formula>
    </cfRule>
    <cfRule type="cellIs" dxfId="638" priority="278" stopIfTrue="1" operator="lessThan">
      <formula>-0.03</formula>
    </cfRule>
  </conditionalFormatting>
  <conditionalFormatting sqref="Y50:Z50">
    <cfRule type="cellIs" dxfId="637" priority="275" operator="greaterThan">
      <formula>0.03</formula>
    </cfRule>
    <cfRule type="cellIs" dxfId="636" priority="276" stopIfTrue="1" operator="lessThan">
      <formula>-0.03</formula>
    </cfRule>
  </conditionalFormatting>
  <conditionalFormatting sqref="Y54:Z54">
    <cfRule type="cellIs" dxfId="635" priority="273" operator="greaterThan">
      <formula>0.03</formula>
    </cfRule>
    <cfRule type="cellIs" dxfId="634" priority="274" stopIfTrue="1" operator="lessThan">
      <formula>-0.03</formula>
    </cfRule>
  </conditionalFormatting>
  <conditionalFormatting sqref="Y58:Z58">
    <cfRule type="cellIs" dxfId="633" priority="271" operator="greaterThan">
      <formula>0.03</formula>
    </cfRule>
    <cfRule type="cellIs" dxfId="632" priority="272" stopIfTrue="1" operator="lessThan">
      <formula>-0.03</formula>
    </cfRule>
  </conditionalFormatting>
  <conditionalFormatting sqref="Y62:Z62">
    <cfRule type="cellIs" dxfId="631" priority="269" operator="greaterThan">
      <formula>0.03</formula>
    </cfRule>
    <cfRule type="cellIs" dxfId="630" priority="270" stopIfTrue="1" operator="lessThan">
      <formula>-0.03</formula>
    </cfRule>
  </conditionalFormatting>
  <conditionalFormatting sqref="V63:X78">
    <cfRule type="cellIs" dxfId="629" priority="227" operator="greaterThan">
      <formula>0.03</formula>
    </cfRule>
    <cfRule type="cellIs" dxfId="628" priority="228" stopIfTrue="1" operator="lessThan">
      <formula>-0.03</formula>
    </cfRule>
  </conditionalFormatting>
  <conditionalFormatting sqref="Y63">
    <cfRule type="cellIs" dxfId="627" priority="225" operator="greaterThan">
      <formula>0.03</formula>
    </cfRule>
    <cfRule type="cellIs" dxfId="626" priority="226" stopIfTrue="1" operator="lessThan">
      <formula>-0.03</formula>
    </cfRule>
  </conditionalFormatting>
  <conditionalFormatting sqref="Z63">
    <cfRule type="cellIs" dxfId="625" priority="223" operator="greaterThan">
      <formula>0.03</formula>
    </cfRule>
    <cfRule type="cellIs" dxfId="624" priority="224" stopIfTrue="1" operator="lessThan">
      <formula>-0.03</formula>
    </cfRule>
  </conditionalFormatting>
  <conditionalFormatting sqref="AA63">
    <cfRule type="cellIs" dxfId="623" priority="221" operator="greaterThan">
      <formula>0.03</formula>
    </cfRule>
    <cfRule type="cellIs" dxfId="622" priority="222" stopIfTrue="1" operator="lessThan">
      <formula>-0.03</formula>
    </cfRule>
  </conditionalFormatting>
  <conditionalFormatting sqref="Z67">
    <cfRule type="cellIs" dxfId="621" priority="217" operator="greaterThan">
      <formula>0.03</formula>
    </cfRule>
    <cfRule type="cellIs" dxfId="620" priority="218" stopIfTrue="1" operator="lessThan">
      <formula>-0.03</formula>
    </cfRule>
  </conditionalFormatting>
  <conditionalFormatting sqref="AA67">
    <cfRule type="cellIs" dxfId="619" priority="215" operator="greaterThan">
      <formula>0.03</formula>
    </cfRule>
    <cfRule type="cellIs" dxfId="618" priority="216" stopIfTrue="1" operator="lessThan">
      <formula>-0.03</formula>
    </cfRule>
  </conditionalFormatting>
  <conditionalFormatting sqref="Y71">
    <cfRule type="cellIs" dxfId="617" priority="213" operator="greaterThan">
      <formula>0.03</formula>
    </cfRule>
    <cfRule type="cellIs" dxfId="616" priority="214" stopIfTrue="1" operator="lessThan">
      <formula>-0.03</formula>
    </cfRule>
  </conditionalFormatting>
  <conditionalFormatting sqref="Z71">
    <cfRule type="cellIs" dxfId="615" priority="211" operator="greaterThan">
      <formula>0.03</formula>
    </cfRule>
    <cfRule type="cellIs" dxfId="614" priority="212" stopIfTrue="1" operator="lessThan">
      <formula>-0.03</formula>
    </cfRule>
  </conditionalFormatting>
  <conditionalFormatting sqref="Y67">
    <cfRule type="cellIs" dxfId="613" priority="219" operator="greaterThan">
      <formula>0.03</formula>
    </cfRule>
    <cfRule type="cellIs" dxfId="612" priority="220" stopIfTrue="1" operator="lessThan">
      <formula>-0.03</formula>
    </cfRule>
  </conditionalFormatting>
  <conditionalFormatting sqref="Y75">
    <cfRule type="cellIs" dxfId="611" priority="207" operator="greaterThan">
      <formula>0.03</formula>
    </cfRule>
    <cfRule type="cellIs" dxfId="610" priority="208" stopIfTrue="1" operator="lessThan">
      <formula>-0.03</formula>
    </cfRule>
  </conditionalFormatting>
  <conditionalFormatting sqref="Z75">
    <cfRule type="cellIs" dxfId="609" priority="205" operator="greaterThan">
      <formula>0.03</formula>
    </cfRule>
    <cfRule type="cellIs" dxfId="608" priority="206" stopIfTrue="1" operator="lessThan">
      <formula>-0.03</formula>
    </cfRule>
  </conditionalFormatting>
  <conditionalFormatting sqref="AA75">
    <cfRule type="cellIs" dxfId="607" priority="203" operator="greaterThan">
      <formula>0.03</formula>
    </cfRule>
    <cfRule type="cellIs" dxfId="606" priority="204" stopIfTrue="1" operator="lessThan">
      <formula>-0.03</formula>
    </cfRule>
  </conditionalFormatting>
  <conditionalFormatting sqref="Y66:Z66">
    <cfRule type="cellIs" dxfId="605" priority="201" operator="greaterThan">
      <formula>0.03</formula>
    </cfRule>
    <cfRule type="cellIs" dxfId="604" priority="202" stopIfTrue="1" operator="lessThan">
      <formula>-0.03</formula>
    </cfRule>
  </conditionalFormatting>
  <conditionalFormatting sqref="AA71">
    <cfRule type="cellIs" dxfId="603" priority="209" operator="greaterThan">
      <formula>0.03</formula>
    </cfRule>
    <cfRule type="cellIs" dxfId="602" priority="210" stopIfTrue="1" operator="lessThan">
      <formula>-0.03</formula>
    </cfRule>
  </conditionalFormatting>
  <conditionalFormatting sqref="Y70:Z70">
    <cfRule type="cellIs" dxfId="601" priority="199" operator="greaterThan">
      <formula>0.03</formula>
    </cfRule>
    <cfRule type="cellIs" dxfId="600" priority="200" stopIfTrue="1" operator="lessThan">
      <formula>-0.03</formula>
    </cfRule>
  </conditionalFormatting>
  <conditionalFormatting sqref="Y74:Z74">
    <cfRule type="cellIs" dxfId="599" priority="197" operator="greaterThan">
      <formula>0.03</formula>
    </cfRule>
    <cfRule type="cellIs" dxfId="598" priority="198" stopIfTrue="1" operator="lessThan">
      <formula>-0.03</formula>
    </cfRule>
  </conditionalFormatting>
  <conditionalFormatting sqref="Y78:Z78">
    <cfRule type="cellIs" dxfId="597" priority="195" operator="greaterThan">
      <formula>0.03</formula>
    </cfRule>
    <cfRule type="cellIs" dxfId="596" priority="196" stopIfTrue="1" operator="lessThan">
      <formula>-0.03</formula>
    </cfRule>
  </conditionalFormatting>
  <conditionalFormatting sqref="V3:X14">
    <cfRule type="cellIs" dxfId="595" priority="569" operator="greaterThan">
      <formula>0.03</formula>
    </cfRule>
    <cfRule type="cellIs" dxfId="594" priority="570" stopIfTrue="1" operator="lessThan">
      <formula>-0.03</formula>
    </cfRule>
  </conditionalFormatting>
  <conditionalFormatting sqref="Y3">
    <cfRule type="cellIs" dxfId="593" priority="567" operator="greaterThan">
      <formula>0.03</formula>
    </cfRule>
    <cfRule type="cellIs" dxfId="592" priority="568" stopIfTrue="1" operator="lessThan">
      <formula>-0.03</formula>
    </cfRule>
  </conditionalFormatting>
  <conditionalFormatting sqref="Z3">
    <cfRule type="cellIs" dxfId="591" priority="565" operator="greaterThan">
      <formula>0.03</formula>
    </cfRule>
    <cfRule type="cellIs" dxfId="590" priority="566" stopIfTrue="1" operator="lessThan">
      <formula>-0.03</formula>
    </cfRule>
  </conditionalFormatting>
  <conditionalFormatting sqref="AA3">
    <cfRule type="cellIs" dxfId="589" priority="563" operator="greaterThan">
      <formula>0.03</formula>
    </cfRule>
    <cfRule type="cellIs" dxfId="588" priority="564" stopIfTrue="1" operator="lessThan">
      <formula>-0.03</formula>
    </cfRule>
  </conditionalFormatting>
  <conditionalFormatting sqref="Y7">
    <cfRule type="cellIs" dxfId="587" priority="561" operator="greaterThan">
      <formula>0.03</formula>
    </cfRule>
    <cfRule type="cellIs" dxfId="586" priority="562" stopIfTrue="1" operator="lessThan">
      <formula>-0.03</formula>
    </cfRule>
  </conditionalFormatting>
  <conditionalFormatting sqref="Z7">
    <cfRule type="cellIs" dxfId="585" priority="559" operator="greaterThan">
      <formula>0.03</formula>
    </cfRule>
    <cfRule type="cellIs" dxfId="584" priority="560" stopIfTrue="1" operator="lessThan">
      <formula>-0.03</formula>
    </cfRule>
  </conditionalFormatting>
  <conditionalFormatting sqref="Y11">
    <cfRule type="cellIs" dxfId="583" priority="555" operator="greaterThan">
      <formula>0.03</formula>
    </cfRule>
    <cfRule type="cellIs" dxfId="582" priority="556" stopIfTrue="1" operator="lessThan">
      <formula>-0.03</formula>
    </cfRule>
  </conditionalFormatting>
  <conditionalFormatting sqref="AA11">
    <cfRule type="cellIs" dxfId="581" priority="551" operator="greaterThan">
      <formula>0.03</formula>
    </cfRule>
    <cfRule type="cellIs" dxfId="580" priority="552" stopIfTrue="1" operator="lessThan">
      <formula>-0.03</formula>
    </cfRule>
  </conditionalFormatting>
  <conditionalFormatting sqref="Y10:Z10">
    <cfRule type="cellIs" dxfId="579" priority="541" operator="greaterThan">
      <formula>0.03</formula>
    </cfRule>
    <cfRule type="cellIs" dxfId="578" priority="542" stopIfTrue="1" operator="lessThan">
      <formula>-0.03</formula>
    </cfRule>
  </conditionalFormatting>
  <conditionalFormatting sqref="V111:AA112">
    <cfRule type="cellIs" dxfId="577" priority="493" operator="greaterThan">
      <formula>0.03</formula>
    </cfRule>
    <cfRule type="cellIs" dxfId="576" priority="494" stopIfTrue="1" operator="lessThan">
      <formula>-0.03</formula>
    </cfRule>
  </conditionalFormatting>
  <conditionalFormatting sqref="V107:AA107 V109:AA109">
    <cfRule type="cellIs" dxfId="575" priority="491" operator="greaterThan">
      <formula>0.03</formula>
    </cfRule>
    <cfRule type="cellIs" dxfId="574" priority="492" stopIfTrue="1" operator="lessThan">
      <formula>-0.03</formula>
    </cfRule>
  </conditionalFormatting>
  <conditionalFormatting sqref="Y19">
    <cfRule type="cellIs" dxfId="573" priority="463" operator="greaterThan">
      <formula>0.03</formula>
    </cfRule>
    <cfRule type="cellIs" dxfId="572" priority="464" stopIfTrue="1" operator="lessThan">
      <formula>-0.03</formula>
    </cfRule>
  </conditionalFormatting>
  <conditionalFormatting sqref="V108:AA108">
    <cfRule type="cellIs" dxfId="571" priority="485" operator="greaterThan">
      <formula>0.03</formula>
    </cfRule>
    <cfRule type="cellIs" dxfId="570" priority="486" stopIfTrue="1" operator="lessThan">
      <formula>-0.03</formula>
    </cfRule>
  </conditionalFormatting>
  <conditionalFormatting sqref="V15:X26">
    <cfRule type="cellIs" dxfId="569" priority="471" operator="greaterThan">
      <formula>0.03</formula>
    </cfRule>
    <cfRule type="cellIs" dxfId="568" priority="472" stopIfTrue="1" operator="lessThan">
      <formula>-0.03</formula>
    </cfRule>
  </conditionalFormatting>
  <conditionalFormatting sqref="Y15">
    <cfRule type="cellIs" dxfId="567" priority="469" operator="greaterThan">
      <formula>0.03</formula>
    </cfRule>
    <cfRule type="cellIs" dxfId="566" priority="470" stopIfTrue="1" operator="lessThan">
      <formula>-0.03</formula>
    </cfRule>
  </conditionalFormatting>
  <conditionalFormatting sqref="V110:AA110">
    <cfRule type="cellIs" dxfId="565" priority="489" operator="greaterThan">
      <formula>0.03</formula>
    </cfRule>
    <cfRule type="cellIs" dxfId="564" priority="490" stopIfTrue="1" operator="lessThan">
      <formula>-0.03</formula>
    </cfRule>
  </conditionalFormatting>
  <conditionalFormatting sqref="V113:AA113">
    <cfRule type="cellIs" dxfId="563" priority="487" operator="greaterThan">
      <formula>0.03</formula>
    </cfRule>
    <cfRule type="cellIs" dxfId="562" priority="488" stopIfTrue="1" operator="lessThan">
      <formula>-0.03</formula>
    </cfRule>
  </conditionalFormatting>
  <conditionalFormatting sqref="Z15">
    <cfRule type="cellIs" dxfId="561" priority="467" operator="greaterThan">
      <formula>0.03</formula>
    </cfRule>
    <cfRule type="cellIs" dxfId="560" priority="468" stopIfTrue="1" operator="lessThan">
      <formula>-0.03</formula>
    </cfRule>
  </conditionalFormatting>
  <conditionalFormatting sqref="AA15">
    <cfRule type="cellIs" dxfId="559" priority="465" operator="greaterThan">
      <formula>0.03</formula>
    </cfRule>
    <cfRule type="cellIs" dxfId="558" priority="466" stopIfTrue="1" operator="lessThan">
      <formula>-0.03</formula>
    </cfRule>
  </conditionalFormatting>
  <conditionalFormatting sqref="Z23">
    <cfRule type="cellIs" dxfId="557" priority="455" operator="greaterThan">
      <formula>0.03</formula>
    </cfRule>
    <cfRule type="cellIs" dxfId="556" priority="456" stopIfTrue="1" operator="lessThan">
      <formula>-0.03</formula>
    </cfRule>
  </conditionalFormatting>
  <conditionalFormatting sqref="AA23">
    <cfRule type="cellIs" dxfId="555" priority="453" operator="greaterThan">
      <formula>0.03</formula>
    </cfRule>
    <cfRule type="cellIs" dxfId="554" priority="454" stopIfTrue="1" operator="lessThan">
      <formula>-0.03</formula>
    </cfRule>
  </conditionalFormatting>
  <conditionalFormatting sqref="Y18:Z18">
    <cfRule type="cellIs" dxfId="553" priority="445" operator="greaterThan">
      <formula>0.03</formula>
    </cfRule>
    <cfRule type="cellIs" dxfId="552" priority="446" stopIfTrue="1" operator="lessThan">
      <formula>-0.03</formula>
    </cfRule>
  </conditionalFormatting>
  <conditionalFormatting sqref="Y22:Z22">
    <cfRule type="cellIs" dxfId="551" priority="443" operator="greaterThan">
      <formula>0.03</formula>
    </cfRule>
    <cfRule type="cellIs" dxfId="550" priority="444" stopIfTrue="1" operator="lessThan">
      <formula>-0.03</formula>
    </cfRule>
  </conditionalFormatting>
  <conditionalFormatting sqref="Y26:Z26">
    <cfRule type="cellIs" dxfId="549" priority="441" operator="greaterThan">
      <formula>0.03</formula>
    </cfRule>
    <cfRule type="cellIs" dxfId="548" priority="442" stopIfTrue="1" operator="lessThan">
      <formula>-0.03</formula>
    </cfRule>
  </conditionalFormatting>
  <conditionalFormatting sqref="V27:X30">
    <cfRule type="cellIs" dxfId="547" priority="397" operator="greaterThan">
      <formula>0.03</formula>
    </cfRule>
    <cfRule type="cellIs" dxfId="546" priority="398" stopIfTrue="1" operator="lessThan">
      <formula>-0.03</formula>
    </cfRule>
  </conditionalFormatting>
  <conditionalFormatting sqref="Y27">
    <cfRule type="cellIs" dxfId="545" priority="395" operator="greaterThan">
      <formula>0.03</formula>
    </cfRule>
    <cfRule type="cellIs" dxfId="544" priority="396" stopIfTrue="1" operator="lessThan">
      <formula>-0.03</formula>
    </cfRule>
  </conditionalFormatting>
  <conditionalFormatting sqref="Z27">
    <cfRule type="cellIs" dxfId="543" priority="393" operator="greaterThan">
      <formula>0.03</formula>
    </cfRule>
    <cfRule type="cellIs" dxfId="542" priority="394" stopIfTrue="1" operator="lessThan">
      <formula>-0.03</formula>
    </cfRule>
  </conditionalFormatting>
  <conditionalFormatting sqref="Y102:Z102">
    <cfRule type="cellIs" dxfId="541" priority="123" operator="greaterThan">
      <formula>0.03</formula>
    </cfRule>
    <cfRule type="cellIs" dxfId="540" priority="124" stopIfTrue="1" operator="lessThan">
      <formula>-0.03</formula>
    </cfRule>
  </conditionalFormatting>
  <conditionalFormatting sqref="Y98:Z98">
    <cfRule type="cellIs" dxfId="539" priority="125" operator="greaterThan">
      <formula>0.03</formula>
    </cfRule>
    <cfRule type="cellIs" dxfId="538" priority="126" stopIfTrue="1" operator="lessThan">
      <formula>-0.03</formula>
    </cfRule>
  </conditionalFormatting>
  <conditionalFormatting sqref="Y106:Z106">
    <cfRule type="cellIs" dxfId="537" priority="121" operator="greaterThan">
      <formula>0.03</formula>
    </cfRule>
    <cfRule type="cellIs" dxfId="536" priority="122" stopIfTrue="1" operator="lessThan">
      <formula>-0.03</formula>
    </cfRule>
  </conditionalFormatting>
  <conditionalFormatting sqref="V80:X82 V84:X86 V88:X90">
    <cfRule type="cellIs" dxfId="535" priority="79" operator="greaterThan">
      <formula>0.03</formula>
    </cfRule>
    <cfRule type="cellIs" dxfId="534" priority="80" stopIfTrue="1" operator="lessThan">
      <formula>-0.03</formula>
    </cfRule>
  </conditionalFormatting>
  <conditionalFormatting sqref="Y82:Z82">
    <cfRule type="cellIs" dxfId="533" priority="59" operator="greaterThan">
      <formula>0.03</formula>
    </cfRule>
    <cfRule type="cellIs" dxfId="532" priority="60" stopIfTrue="1" operator="lessThan">
      <formula>-0.03</formula>
    </cfRule>
  </conditionalFormatting>
  <conditionalFormatting sqref="Y86:Z86">
    <cfRule type="cellIs" dxfId="531" priority="57" operator="greaterThan">
      <formula>0.03</formula>
    </cfRule>
    <cfRule type="cellIs" dxfId="530" priority="58" stopIfTrue="1" operator="lessThan">
      <formula>-0.03</formula>
    </cfRule>
  </conditionalFormatting>
  <conditionalFormatting sqref="Y90:Z90">
    <cfRule type="cellIs" dxfId="529" priority="55" operator="greaterThan">
      <formula>0.03</formula>
    </cfRule>
    <cfRule type="cellIs" dxfId="528" priority="56" stopIfTrue="1" operator="lessThan">
      <formula>-0.03</formula>
    </cfRule>
  </conditionalFormatting>
  <conditionalFormatting sqref="Y94:Z94">
    <cfRule type="cellIs" dxfId="527" priority="127" operator="greaterThan">
      <formula>0.03</formula>
    </cfRule>
    <cfRule type="cellIs" dxfId="526" priority="128" stopIfTrue="1" operator="lessThan">
      <formula>-0.03</formula>
    </cfRule>
  </conditionalFormatting>
  <conditionalFormatting sqref="Z103">
    <cfRule type="cellIs" dxfId="525" priority="131" operator="greaterThan">
      <formula>0.03</formula>
    </cfRule>
    <cfRule type="cellIs" dxfId="524" priority="132" stopIfTrue="1" operator="lessThan">
      <formula>-0.03</formula>
    </cfRule>
  </conditionalFormatting>
  <conditionalFormatting sqref="Y103">
    <cfRule type="cellIs" dxfId="523" priority="133" operator="greaterThan">
      <formula>0.03</formula>
    </cfRule>
    <cfRule type="cellIs" dxfId="522" priority="134" stopIfTrue="1" operator="lessThan">
      <formula>-0.03</formula>
    </cfRule>
  </conditionalFormatting>
  <conditionalFormatting sqref="AA103">
    <cfRule type="cellIs" dxfId="521" priority="129" operator="greaterThan">
      <formula>0.03</formula>
    </cfRule>
    <cfRule type="cellIs" dxfId="520" priority="130" stopIfTrue="1" operator="lessThan">
      <formula>-0.03</formula>
    </cfRule>
  </conditionalFormatting>
  <conditionalFormatting sqref="Y99">
    <cfRule type="cellIs" dxfId="519" priority="139" operator="greaterThan">
      <formula>0.03</formula>
    </cfRule>
    <cfRule type="cellIs" dxfId="518" priority="140" stopIfTrue="1" operator="lessThan">
      <formula>-0.03</formula>
    </cfRule>
  </conditionalFormatting>
  <conditionalFormatting sqref="V91:X106">
    <cfRule type="cellIs" dxfId="517" priority="153" operator="greaterThan">
      <formula>0.03</formula>
    </cfRule>
    <cfRule type="cellIs" dxfId="516" priority="154" stopIfTrue="1" operator="lessThan">
      <formula>-0.03</formula>
    </cfRule>
  </conditionalFormatting>
  <conditionalFormatting sqref="Y91">
    <cfRule type="cellIs" dxfId="515" priority="151" operator="greaterThan">
      <formula>0.03</formula>
    </cfRule>
    <cfRule type="cellIs" dxfId="514" priority="152" stopIfTrue="1" operator="lessThan">
      <formula>-0.03</formula>
    </cfRule>
  </conditionalFormatting>
  <conditionalFormatting sqref="Z91">
    <cfRule type="cellIs" dxfId="513" priority="149" operator="greaterThan">
      <formula>0.03</formula>
    </cfRule>
    <cfRule type="cellIs" dxfId="512" priority="150" stopIfTrue="1" operator="lessThan">
      <formula>-0.03</formula>
    </cfRule>
  </conditionalFormatting>
  <conditionalFormatting sqref="AA91">
    <cfRule type="cellIs" dxfId="511" priority="147" operator="greaterThan">
      <formula>0.03</formula>
    </cfRule>
    <cfRule type="cellIs" dxfId="510" priority="148" stopIfTrue="1" operator="lessThan">
      <formula>-0.03</formula>
    </cfRule>
  </conditionalFormatting>
  <conditionalFormatting sqref="Y95">
    <cfRule type="cellIs" dxfId="509" priority="145" operator="greaterThan">
      <formula>0.03</formula>
    </cfRule>
    <cfRule type="cellIs" dxfId="508" priority="146" stopIfTrue="1" operator="lessThan">
      <formula>-0.03</formula>
    </cfRule>
  </conditionalFormatting>
  <conditionalFormatting sqref="Z95">
    <cfRule type="cellIs" dxfId="507" priority="143" operator="greaterThan">
      <formula>0.03</formula>
    </cfRule>
    <cfRule type="cellIs" dxfId="506" priority="144" stopIfTrue="1" operator="lessThan">
      <formula>-0.03</formula>
    </cfRule>
  </conditionalFormatting>
  <conditionalFormatting sqref="AA95">
    <cfRule type="cellIs" dxfId="505" priority="141" operator="greaterThan">
      <formula>0.03</formula>
    </cfRule>
    <cfRule type="cellIs" dxfId="504" priority="142" stopIfTrue="1" operator="lessThan">
      <formula>-0.03</formula>
    </cfRule>
  </conditionalFormatting>
  <conditionalFormatting sqref="Z99">
    <cfRule type="cellIs" dxfId="503" priority="137" operator="greaterThan">
      <formula>0.03</formula>
    </cfRule>
    <cfRule type="cellIs" dxfId="502" priority="138" stopIfTrue="1" operator="lessThan">
      <formula>-0.03</formula>
    </cfRule>
  </conditionalFormatting>
  <conditionalFormatting sqref="AA99">
    <cfRule type="cellIs" dxfId="501" priority="135" operator="greaterThan">
      <formula>0.03</formula>
    </cfRule>
    <cfRule type="cellIs" dxfId="500" priority="136" stopIfTrue="1" operator="lessThan">
      <formula>-0.03</formula>
    </cfRule>
  </conditionalFormatting>
  <conditionalFormatting sqref="V79:X79">
    <cfRule type="cellIs" dxfId="499" priority="23" operator="greaterThan">
      <formula>0.03</formula>
    </cfRule>
    <cfRule type="cellIs" dxfId="498" priority="24" stopIfTrue="1" operator="lessThan">
      <formula>-0.03</formula>
    </cfRule>
  </conditionalFormatting>
  <conditionalFormatting sqref="Y79">
    <cfRule type="cellIs" dxfId="497" priority="21" operator="greaterThan">
      <formula>0.03</formula>
    </cfRule>
    <cfRule type="cellIs" dxfId="496" priority="22" stopIfTrue="1" operator="lessThan">
      <formula>-0.03</formula>
    </cfRule>
  </conditionalFormatting>
  <conditionalFormatting sqref="Z79">
    <cfRule type="cellIs" dxfId="495" priority="19" operator="greaterThan">
      <formula>0.03</formula>
    </cfRule>
    <cfRule type="cellIs" dxfId="494" priority="20" stopIfTrue="1" operator="lessThan">
      <formula>-0.03</formula>
    </cfRule>
  </conditionalFormatting>
  <conditionalFormatting sqref="AA79">
    <cfRule type="cellIs" dxfId="493" priority="17" operator="greaterThan">
      <formula>0.03</formula>
    </cfRule>
    <cfRule type="cellIs" dxfId="492" priority="18" stopIfTrue="1" operator="lessThan">
      <formula>-0.03</formula>
    </cfRule>
  </conditionalFormatting>
  <conditionalFormatting sqref="V83:X83">
    <cfRule type="cellIs" dxfId="491" priority="15" operator="greaterThan">
      <formula>0.03</formula>
    </cfRule>
    <cfRule type="cellIs" dxfId="490" priority="16" stopIfTrue="1" operator="lessThan">
      <formula>-0.03</formula>
    </cfRule>
  </conditionalFormatting>
  <conditionalFormatting sqref="Y83">
    <cfRule type="cellIs" dxfId="489" priority="13" operator="greaterThan">
      <formula>0.03</formula>
    </cfRule>
    <cfRule type="cellIs" dxfId="488" priority="14" stopIfTrue="1" operator="lessThan">
      <formula>-0.03</formula>
    </cfRule>
  </conditionalFormatting>
  <conditionalFormatting sqref="Z83">
    <cfRule type="cellIs" dxfId="487" priority="11" operator="greaterThan">
      <formula>0.03</formula>
    </cfRule>
    <cfRule type="cellIs" dxfId="486" priority="12" stopIfTrue="1" operator="lessThan">
      <formula>-0.03</formula>
    </cfRule>
  </conditionalFormatting>
  <conditionalFormatting sqref="AA83">
    <cfRule type="cellIs" dxfId="485" priority="9" operator="greaterThan">
      <formula>0.03</formula>
    </cfRule>
    <cfRule type="cellIs" dxfId="484" priority="10" stopIfTrue="1" operator="lessThan">
      <formula>-0.03</formula>
    </cfRule>
  </conditionalFormatting>
  <conditionalFormatting sqref="V87:X87">
    <cfRule type="cellIs" dxfId="483" priority="7" operator="greaterThan">
      <formula>0.03</formula>
    </cfRule>
    <cfRule type="cellIs" dxfId="482" priority="8" stopIfTrue="1" operator="lessThan">
      <formula>-0.03</formula>
    </cfRule>
  </conditionalFormatting>
  <conditionalFormatting sqref="Y87">
    <cfRule type="cellIs" dxfId="481" priority="5" operator="greaterThan">
      <formula>0.03</formula>
    </cfRule>
    <cfRule type="cellIs" dxfId="480" priority="6" stopIfTrue="1" operator="lessThan">
      <formula>-0.03</formula>
    </cfRule>
  </conditionalFormatting>
  <conditionalFormatting sqref="Z87">
    <cfRule type="cellIs" dxfId="479" priority="3" operator="greaterThan">
      <formula>0.03</formula>
    </cfRule>
    <cfRule type="cellIs" dxfId="478" priority="4" stopIfTrue="1" operator="lessThan">
      <formula>-0.03</formula>
    </cfRule>
  </conditionalFormatting>
  <conditionalFormatting sqref="AA87">
    <cfRule type="cellIs" dxfId="477" priority="1" operator="greaterThan">
      <formula>0.03</formula>
    </cfRule>
    <cfRule type="cellIs" dxfId="476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117"/>
  <sheetViews>
    <sheetView topLeftCell="A92" workbookViewId="0">
      <selection activeCell="B95" sqref="B95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>
      <c r="D1" s="124" t="s">
        <v>12</v>
      </c>
      <c r="E1" s="125"/>
      <c r="F1" s="125"/>
      <c r="G1" s="125"/>
      <c r="H1" s="125"/>
      <c r="I1" s="125"/>
      <c r="J1" s="126"/>
      <c r="L1" s="124" t="s">
        <v>13</v>
      </c>
      <c r="M1" s="125"/>
      <c r="N1" s="125"/>
      <c r="O1" s="125"/>
      <c r="P1" s="125"/>
      <c r="Q1" s="125"/>
      <c r="R1" s="126"/>
      <c r="S1" s="37"/>
      <c r="T1" s="37"/>
      <c r="U1" s="2"/>
      <c r="V1" s="124" t="s">
        <v>24</v>
      </c>
      <c r="W1" s="125"/>
      <c r="X1" s="126"/>
      <c r="Y1" s="124" t="s">
        <v>25</v>
      </c>
      <c r="Z1" s="125"/>
      <c r="AA1" s="126"/>
    </row>
    <row r="2" spans="1:27" ht="12.75" thickBot="1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38</v>
      </c>
      <c r="T2" s="7" t="s">
        <v>39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>
      <c r="A3" s="11" t="s">
        <v>72</v>
      </c>
      <c r="B3" s="11" t="s">
        <v>416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>
      <c r="A4" s="16" t="s">
        <v>46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>
      <c r="A7" s="16"/>
      <c r="B7" s="11" t="s">
        <v>417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>
      <c r="A11" s="35"/>
      <c r="B11" s="34" t="s">
        <v>503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>
      <c r="A15" s="11" t="s">
        <v>73</v>
      </c>
      <c r="B15" s="11" t="s">
        <v>418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>
      <c r="A16" s="16" t="s">
        <v>46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>
      <c r="A19" s="16"/>
      <c r="B19" s="16" t="s">
        <v>419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>
      <c r="A23" s="35"/>
      <c r="B23" s="16" t="s">
        <v>420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>
      <c r="A27" s="11" t="s">
        <v>1</v>
      </c>
      <c r="B27" s="11" t="s">
        <v>422</v>
      </c>
      <c r="C27" s="11">
        <v>22</v>
      </c>
      <c r="D27" s="12">
        <f>Reference!B233</f>
        <v>0</v>
      </c>
      <c r="E27" s="13">
        <f>Reference!C233</f>
        <v>0</v>
      </c>
      <c r="F27" s="13">
        <f>Reference!D233</f>
        <v>0</v>
      </c>
      <c r="G27" s="13">
        <f>Reference!E233</f>
        <v>0</v>
      </c>
      <c r="H27" s="13">
        <f>Reference!F233</f>
        <v>0</v>
      </c>
      <c r="I27" s="13">
        <f>Reference!G233</f>
        <v>0</v>
      </c>
      <c r="J27" s="14">
        <f t="shared" ref="J27" si="0">H27/3600</f>
        <v>0</v>
      </c>
      <c r="L27" s="12">
        <f>Test!B233</f>
        <v>0</v>
      </c>
      <c r="M27" s="13">
        <f>Test!C233</f>
        <v>0</v>
      </c>
      <c r="N27" s="13">
        <f>Test!D233</f>
        <v>0</v>
      </c>
      <c r="O27" s="13">
        <f>Test!E233</f>
        <v>0</v>
      </c>
      <c r="P27" s="13">
        <f>Test!F233</f>
        <v>0</v>
      </c>
      <c r="Q27" s="13">
        <f>Test!G233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>
      <c r="A28" s="16" t="s">
        <v>47</v>
      </c>
      <c r="B28" s="16"/>
      <c r="C28" s="16">
        <v>27</v>
      </c>
      <c r="D28" s="17">
        <f>Reference!B234</f>
        <v>0</v>
      </c>
      <c r="E28" s="18">
        <f>Reference!C234</f>
        <v>0</v>
      </c>
      <c r="F28" s="18">
        <f>Reference!D234</f>
        <v>0</v>
      </c>
      <c r="G28" s="18">
        <f>Reference!E234</f>
        <v>0</v>
      </c>
      <c r="H28" s="18">
        <f>Reference!F234</f>
        <v>0</v>
      </c>
      <c r="I28" s="18">
        <f>Reference!G234</f>
        <v>0</v>
      </c>
      <c r="J28" s="19">
        <f t="shared" ref="J28:J91" si="3">H28/3600</f>
        <v>0</v>
      </c>
      <c r="L28" s="17">
        <f>Test!B234</f>
        <v>0</v>
      </c>
      <c r="M28" s="18">
        <f>Test!C234</f>
        <v>0</v>
      </c>
      <c r="N28" s="18">
        <f>Test!D234</f>
        <v>0</v>
      </c>
      <c r="O28" s="18">
        <f>Test!E234</f>
        <v>0</v>
      </c>
      <c r="P28" s="18">
        <f>Test!F234</f>
        <v>0</v>
      </c>
      <c r="Q28" s="18">
        <f>Test!G234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>
      <c r="A29" s="16"/>
      <c r="B29" s="16"/>
      <c r="C29" s="16">
        <v>32</v>
      </c>
      <c r="D29" s="17">
        <f>Reference!B235</f>
        <v>0</v>
      </c>
      <c r="E29" s="18">
        <f>Reference!C235</f>
        <v>0</v>
      </c>
      <c r="F29" s="18">
        <f>Reference!D235</f>
        <v>0</v>
      </c>
      <c r="G29" s="18">
        <f>Reference!E235</f>
        <v>0</v>
      </c>
      <c r="H29" s="18">
        <f>Reference!F235</f>
        <v>0</v>
      </c>
      <c r="I29" s="18">
        <f>Reference!G235</f>
        <v>0</v>
      </c>
      <c r="J29" s="19">
        <f t="shared" si="3"/>
        <v>0</v>
      </c>
      <c r="L29" s="17">
        <f>Test!B235</f>
        <v>0</v>
      </c>
      <c r="M29" s="18">
        <f>Test!C235</f>
        <v>0</v>
      </c>
      <c r="N29" s="18">
        <f>Test!D235</f>
        <v>0</v>
      </c>
      <c r="O29" s="18">
        <f>Test!E235</f>
        <v>0</v>
      </c>
      <c r="P29" s="18">
        <f>Test!F235</f>
        <v>0</v>
      </c>
      <c r="Q29" s="18">
        <f>Test!G235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>
      <c r="A30" s="16"/>
      <c r="B30" s="21"/>
      <c r="C30" s="21">
        <v>37</v>
      </c>
      <c r="D30" s="22">
        <f>Reference!B236</f>
        <v>0</v>
      </c>
      <c r="E30" s="23">
        <f>Reference!C236</f>
        <v>0</v>
      </c>
      <c r="F30" s="23">
        <f>Reference!D236</f>
        <v>0</v>
      </c>
      <c r="G30" s="23">
        <f>Reference!E236</f>
        <v>0</v>
      </c>
      <c r="H30" s="23">
        <f>Reference!F236</f>
        <v>0</v>
      </c>
      <c r="I30" s="23">
        <f>Reference!G236</f>
        <v>0</v>
      </c>
      <c r="J30" s="24">
        <f t="shared" si="3"/>
        <v>0</v>
      </c>
      <c r="L30" s="22">
        <f>Test!B236</f>
        <v>0</v>
      </c>
      <c r="M30" s="23">
        <f>Test!C236</f>
        <v>0</v>
      </c>
      <c r="N30" s="23">
        <f>Test!D236</f>
        <v>0</v>
      </c>
      <c r="O30" s="23">
        <f>Test!E236</f>
        <v>0</v>
      </c>
      <c r="P30" s="23">
        <f>Test!F236</f>
        <v>0</v>
      </c>
      <c r="Q30" s="23">
        <f>Test!G236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>
      <c r="A31" s="16"/>
      <c r="B31" s="11" t="s">
        <v>421</v>
      </c>
      <c r="C31" s="11">
        <v>22</v>
      </c>
      <c r="D31" s="12">
        <f>Reference!B237</f>
        <v>0</v>
      </c>
      <c r="E31" s="13">
        <f>Reference!C237</f>
        <v>0</v>
      </c>
      <c r="F31" s="13">
        <f>Reference!D237</f>
        <v>0</v>
      </c>
      <c r="G31" s="13">
        <f>Reference!E237</f>
        <v>0</v>
      </c>
      <c r="H31" s="13">
        <f>Reference!F237</f>
        <v>0</v>
      </c>
      <c r="I31" s="13">
        <f>Reference!G237</f>
        <v>0</v>
      </c>
      <c r="J31" s="14">
        <f t="shared" si="3"/>
        <v>0</v>
      </c>
      <c r="L31" s="12">
        <f>Test!B237</f>
        <v>0</v>
      </c>
      <c r="M31" s="13">
        <f>Test!C237</f>
        <v>0</v>
      </c>
      <c r="N31" s="13">
        <f>Test!D237</f>
        <v>0</v>
      </c>
      <c r="O31" s="13">
        <f>Test!E237</f>
        <v>0</v>
      </c>
      <c r="P31" s="13">
        <f>Test!F237</f>
        <v>0</v>
      </c>
      <c r="Q31" s="13">
        <f>Test!G237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>
      <c r="A32" s="16"/>
      <c r="B32" s="16"/>
      <c r="C32" s="16">
        <v>27</v>
      </c>
      <c r="D32" s="17">
        <f>Reference!B238</f>
        <v>0</v>
      </c>
      <c r="E32" s="18">
        <f>Reference!C238</f>
        <v>0</v>
      </c>
      <c r="F32" s="18">
        <f>Reference!D238</f>
        <v>0</v>
      </c>
      <c r="G32" s="18">
        <f>Reference!E238</f>
        <v>0</v>
      </c>
      <c r="H32" s="18">
        <f>Reference!F238</f>
        <v>0</v>
      </c>
      <c r="I32" s="18">
        <f>Reference!G238</f>
        <v>0</v>
      </c>
      <c r="J32" s="19">
        <f t="shared" si="3"/>
        <v>0</v>
      </c>
      <c r="L32" s="17">
        <f>Test!B238</f>
        <v>0</v>
      </c>
      <c r="M32" s="18">
        <f>Test!C238</f>
        <v>0</v>
      </c>
      <c r="N32" s="18">
        <f>Test!D238</f>
        <v>0</v>
      </c>
      <c r="O32" s="18">
        <f>Test!E238</f>
        <v>0</v>
      </c>
      <c r="P32" s="18">
        <f>Test!F238</f>
        <v>0</v>
      </c>
      <c r="Q32" s="18">
        <f>Test!G238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>
      <c r="A33" s="16"/>
      <c r="B33" s="16"/>
      <c r="C33" s="16">
        <v>32</v>
      </c>
      <c r="D33" s="17">
        <f>Reference!B239</f>
        <v>0</v>
      </c>
      <c r="E33" s="18">
        <f>Reference!C239</f>
        <v>0</v>
      </c>
      <c r="F33" s="18">
        <f>Reference!D239</f>
        <v>0</v>
      </c>
      <c r="G33" s="18">
        <f>Reference!E239</f>
        <v>0</v>
      </c>
      <c r="H33" s="18">
        <f>Reference!F239</f>
        <v>0</v>
      </c>
      <c r="I33" s="18">
        <f>Reference!G239</f>
        <v>0</v>
      </c>
      <c r="J33" s="19">
        <f t="shared" si="3"/>
        <v>0</v>
      </c>
      <c r="L33" s="17">
        <f>Test!B239</f>
        <v>0</v>
      </c>
      <c r="M33" s="18">
        <f>Test!C239</f>
        <v>0</v>
      </c>
      <c r="N33" s="18">
        <f>Test!D239</f>
        <v>0</v>
      </c>
      <c r="O33" s="18">
        <f>Test!E239</f>
        <v>0</v>
      </c>
      <c r="P33" s="18">
        <f>Test!F239</f>
        <v>0</v>
      </c>
      <c r="Q33" s="18">
        <f>Test!G239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>
      <c r="A34" s="16"/>
      <c r="B34" s="21"/>
      <c r="C34" s="21">
        <v>37</v>
      </c>
      <c r="D34" s="22">
        <f>Reference!B240</f>
        <v>0</v>
      </c>
      <c r="E34" s="23">
        <f>Reference!C240</f>
        <v>0</v>
      </c>
      <c r="F34" s="23">
        <f>Reference!D240</f>
        <v>0</v>
      </c>
      <c r="G34" s="23">
        <f>Reference!E240</f>
        <v>0</v>
      </c>
      <c r="H34" s="23">
        <f>Reference!F240</f>
        <v>0</v>
      </c>
      <c r="I34" s="23">
        <f>Reference!G240</f>
        <v>0</v>
      </c>
      <c r="J34" s="24">
        <f t="shared" si="3"/>
        <v>0</v>
      </c>
      <c r="L34" s="22">
        <f>Test!B240</f>
        <v>0</v>
      </c>
      <c r="M34" s="23">
        <f>Test!C240</f>
        <v>0</v>
      </c>
      <c r="N34" s="23">
        <f>Test!D240</f>
        <v>0</v>
      </c>
      <c r="O34" s="23">
        <f>Test!E240</f>
        <v>0</v>
      </c>
      <c r="P34" s="23">
        <f>Test!F240</f>
        <v>0</v>
      </c>
      <c r="Q34" s="23">
        <f>Test!G240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>
      <c r="A35" s="16"/>
      <c r="B35" s="11" t="s">
        <v>2</v>
      </c>
      <c r="C35" s="11">
        <v>22</v>
      </c>
      <c r="D35" s="12">
        <f>Reference!B241</f>
        <v>0</v>
      </c>
      <c r="E35" s="13">
        <f>Reference!C241</f>
        <v>0</v>
      </c>
      <c r="F35" s="13">
        <f>Reference!D241</f>
        <v>0</v>
      </c>
      <c r="G35" s="13">
        <f>Reference!E241</f>
        <v>0</v>
      </c>
      <c r="H35" s="13">
        <f>Reference!F241</f>
        <v>0</v>
      </c>
      <c r="I35" s="13">
        <f>Reference!G241</f>
        <v>0</v>
      </c>
      <c r="J35" s="14">
        <f t="shared" si="3"/>
        <v>0</v>
      </c>
      <c r="L35" s="12">
        <f>Test!B241</f>
        <v>0</v>
      </c>
      <c r="M35" s="13">
        <f>Test!C241</f>
        <v>0</v>
      </c>
      <c r="N35" s="13">
        <f>Test!D241</f>
        <v>0</v>
      </c>
      <c r="O35" s="13">
        <f>Test!E241</f>
        <v>0</v>
      </c>
      <c r="P35" s="13">
        <f>Test!F241</f>
        <v>0</v>
      </c>
      <c r="Q35" s="13">
        <f>Test!G241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>
      <c r="A36" s="16"/>
      <c r="B36" s="16"/>
      <c r="C36" s="16">
        <v>27</v>
      </c>
      <c r="D36" s="17">
        <f>Reference!B242</f>
        <v>0</v>
      </c>
      <c r="E36" s="18">
        <f>Reference!C242</f>
        <v>0</v>
      </c>
      <c r="F36" s="18">
        <f>Reference!D242</f>
        <v>0</v>
      </c>
      <c r="G36" s="18">
        <f>Reference!E242</f>
        <v>0</v>
      </c>
      <c r="H36" s="18">
        <f>Reference!F242</f>
        <v>0</v>
      </c>
      <c r="I36" s="18">
        <f>Reference!G242</f>
        <v>0</v>
      </c>
      <c r="J36" s="19">
        <f t="shared" si="3"/>
        <v>0</v>
      </c>
      <c r="L36" s="17">
        <f>Test!B242</f>
        <v>0</v>
      </c>
      <c r="M36" s="18">
        <f>Test!C242</f>
        <v>0</v>
      </c>
      <c r="N36" s="18">
        <f>Test!D242</f>
        <v>0</v>
      </c>
      <c r="O36" s="18">
        <f>Test!E242</f>
        <v>0</v>
      </c>
      <c r="P36" s="18">
        <f>Test!F242</f>
        <v>0</v>
      </c>
      <c r="Q36" s="18">
        <f>Test!G242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>
      <c r="A37" s="16"/>
      <c r="B37" s="16"/>
      <c r="C37" s="16">
        <v>32</v>
      </c>
      <c r="D37" s="17">
        <f>Reference!B243</f>
        <v>0</v>
      </c>
      <c r="E37" s="18">
        <f>Reference!C243</f>
        <v>0</v>
      </c>
      <c r="F37" s="18">
        <f>Reference!D243</f>
        <v>0</v>
      </c>
      <c r="G37" s="18">
        <f>Reference!E243</f>
        <v>0</v>
      </c>
      <c r="H37" s="18">
        <f>Reference!F243</f>
        <v>0</v>
      </c>
      <c r="I37" s="18">
        <f>Reference!G243</f>
        <v>0</v>
      </c>
      <c r="J37" s="19">
        <f t="shared" si="3"/>
        <v>0</v>
      </c>
      <c r="L37" s="17">
        <f>Test!B243</f>
        <v>0</v>
      </c>
      <c r="M37" s="18">
        <f>Test!C243</f>
        <v>0</v>
      </c>
      <c r="N37" s="18">
        <f>Test!D243</f>
        <v>0</v>
      </c>
      <c r="O37" s="18">
        <f>Test!E243</f>
        <v>0</v>
      </c>
      <c r="P37" s="18">
        <f>Test!F243</f>
        <v>0</v>
      </c>
      <c r="Q37" s="18">
        <f>Test!G243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>
      <c r="A38" s="16"/>
      <c r="B38" s="21"/>
      <c r="C38" s="21">
        <v>37</v>
      </c>
      <c r="D38" s="22">
        <f>Reference!B244</f>
        <v>0</v>
      </c>
      <c r="E38" s="23">
        <f>Reference!C244</f>
        <v>0</v>
      </c>
      <c r="F38" s="23">
        <f>Reference!D244</f>
        <v>0</v>
      </c>
      <c r="G38" s="23">
        <f>Reference!E244</f>
        <v>0</v>
      </c>
      <c r="H38" s="23">
        <f>Reference!F244</f>
        <v>0</v>
      </c>
      <c r="I38" s="23">
        <f>Reference!G244</f>
        <v>0</v>
      </c>
      <c r="J38" s="24">
        <f t="shared" si="3"/>
        <v>0</v>
      </c>
      <c r="L38" s="22">
        <f>Test!B244</f>
        <v>0</v>
      </c>
      <c r="M38" s="23">
        <f>Test!C244</f>
        <v>0</v>
      </c>
      <c r="N38" s="23">
        <f>Test!D244</f>
        <v>0</v>
      </c>
      <c r="O38" s="23">
        <f>Test!E244</f>
        <v>0</v>
      </c>
      <c r="P38" s="23">
        <f>Test!F244</f>
        <v>0</v>
      </c>
      <c r="Q38" s="23">
        <f>Test!G244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>
      <c r="A39" s="16"/>
      <c r="B39" s="11" t="s">
        <v>3</v>
      </c>
      <c r="C39" s="11">
        <v>22</v>
      </c>
      <c r="D39" s="12">
        <f>Reference!B245</f>
        <v>0</v>
      </c>
      <c r="E39" s="13">
        <f>Reference!C245</f>
        <v>0</v>
      </c>
      <c r="F39" s="13">
        <f>Reference!D245</f>
        <v>0</v>
      </c>
      <c r="G39" s="13">
        <f>Reference!E245</f>
        <v>0</v>
      </c>
      <c r="H39" s="13">
        <f>Reference!F245</f>
        <v>0</v>
      </c>
      <c r="I39" s="13">
        <f>Reference!G245</f>
        <v>0</v>
      </c>
      <c r="J39" s="14">
        <f t="shared" si="3"/>
        <v>0</v>
      </c>
      <c r="L39" s="12">
        <f>Test!B245</f>
        <v>0</v>
      </c>
      <c r="M39" s="13">
        <f>Test!C245</f>
        <v>0</v>
      </c>
      <c r="N39" s="13">
        <f>Test!D245</f>
        <v>0</v>
      </c>
      <c r="O39" s="13">
        <f>Test!E245</f>
        <v>0</v>
      </c>
      <c r="P39" s="13">
        <f>Test!F245</f>
        <v>0</v>
      </c>
      <c r="Q39" s="13">
        <f>Test!G245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>
      <c r="A40" s="16"/>
      <c r="B40" s="16"/>
      <c r="C40" s="16">
        <v>27</v>
      </c>
      <c r="D40" s="17">
        <f>Reference!B246</f>
        <v>0</v>
      </c>
      <c r="E40" s="18">
        <f>Reference!C246</f>
        <v>0</v>
      </c>
      <c r="F40" s="18">
        <f>Reference!D246</f>
        <v>0</v>
      </c>
      <c r="G40" s="18">
        <f>Reference!E246</f>
        <v>0</v>
      </c>
      <c r="H40" s="18">
        <f>Reference!F246</f>
        <v>0</v>
      </c>
      <c r="I40" s="18">
        <f>Reference!G246</f>
        <v>0</v>
      </c>
      <c r="J40" s="19">
        <f t="shared" si="3"/>
        <v>0</v>
      </c>
      <c r="L40" s="17">
        <f>Test!B246</f>
        <v>0</v>
      </c>
      <c r="M40" s="18">
        <f>Test!C246</f>
        <v>0</v>
      </c>
      <c r="N40" s="18">
        <f>Test!D246</f>
        <v>0</v>
      </c>
      <c r="O40" s="18">
        <f>Test!E246</f>
        <v>0</v>
      </c>
      <c r="P40" s="18">
        <f>Test!F246</f>
        <v>0</v>
      </c>
      <c r="Q40" s="18">
        <f>Test!G246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>
      <c r="A41" s="16"/>
      <c r="B41" s="16"/>
      <c r="C41" s="16">
        <v>32</v>
      </c>
      <c r="D41" s="17">
        <f>Reference!B247</f>
        <v>0</v>
      </c>
      <c r="E41" s="18">
        <f>Reference!C247</f>
        <v>0</v>
      </c>
      <c r="F41" s="18">
        <f>Reference!D247</f>
        <v>0</v>
      </c>
      <c r="G41" s="18">
        <f>Reference!E247</f>
        <v>0</v>
      </c>
      <c r="H41" s="18">
        <f>Reference!F247</f>
        <v>0</v>
      </c>
      <c r="I41" s="18">
        <f>Reference!G247</f>
        <v>0</v>
      </c>
      <c r="J41" s="19">
        <f t="shared" si="3"/>
        <v>0</v>
      </c>
      <c r="L41" s="17">
        <f>Test!B247</f>
        <v>0</v>
      </c>
      <c r="M41" s="18">
        <f>Test!C247</f>
        <v>0</v>
      </c>
      <c r="N41" s="18">
        <f>Test!D247</f>
        <v>0</v>
      </c>
      <c r="O41" s="18">
        <f>Test!E247</f>
        <v>0</v>
      </c>
      <c r="P41" s="18">
        <f>Test!F247</f>
        <v>0</v>
      </c>
      <c r="Q41" s="18">
        <f>Test!G247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>
      <c r="A42" s="16"/>
      <c r="B42" s="21"/>
      <c r="C42" s="21">
        <v>37</v>
      </c>
      <c r="D42" s="22">
        <f>Reference!B248</f>
        <v>0</v>
      </c>
      <c r="E42" s="23">
        <f>Reference!C248</f>
        <v>0</v>
      </c>
      <c r="F42" s="23">
        <f>Reference!D248</f>
        <v>0</v>
      </c>
      <c r="G42" s="23">
        <f>Reference!E248</f>
        <v>0</v>
      </c>
      <c r="H42" s="23">
        <f>Reference!F248</f>
        <v>0</v>
      </c>
      <c r="I42" s="23">
        <f>Reference!G248</f>
        <v>0</v>
      </c>
      <c r="J42" s="24">
        <f t="shared" si="3"/>
        <v>0</v>
      </c>
      <c r="L42" s="22">
        <f>Test!B248</f>
        <v>0</v>
      </c>
      <c r="M42" s="23">
        <f>Test!C248</f>
        <v>0</v>
      </c>
      <c r="N42" s="23">
        <f>Test!D248</f>
        <v>0</v>
      </c>
      <c r="O42" s="23">
        <f>Test!E248</f>
        <v>0</v>
      </c>
      <c r="P42" s="23">
        <f>Test!F248</f>
        <v>0</v>
      </c>
      <c r="Q42" s="23">
        <f>Test!G248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>
      <c r="A43" s="16"/>
      <c r="B43" s="11" t="s">
        <v>4</v>
      </c>
      <c r="C43" s="11">
        <v>22</v>
      </c>
      <c r="D43" s="12">
        <f>Reference!B249</f>
        <v>0</v>
      </c>
      <c r="E43" s="13">
        <f>Reference!C249</f>
        <v>0</v>
      </c>
      <c r="F43" s="13">
        <f>Reference!D249</f>
        <v>0</v>
      </c>
      <c r="G43" s="13">
        <f>Reference!E249</f>
        <v>0</v>
      </c>
      <c r="H43" s="13">
        <f>Reference!F249</f>
        <v>0</v>
      </c>
      <c r="I43" s="13">
        <f>Reference!G249</f>
        <v>0</v>
      </c>
      <c r="J43" s="14">
        <f t="shared" si="3"/>
        <v>0</v>
      </c>
      <c r="L43" s="12">
        <f>Test!B249</f>
        <v>0</v>
      </c>
      <c r="M43" s="13">
        <f>Test!C249</f>
        <v>0</v>
      </c>
      <c r="N43" s="13">
        <f>Test!D249</f>
        <v>0</v>
      </c>
      <c r="O43" s="13">
        <f>Test!E249</f>
        <v>0</v>
      </c>
      <c r="P43" s="13">
        <f>Test!F249</f>
        <v>0</v>
      </c>
      <c r="Q43" s="13">
        <f>Test!G249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>
      <c r="A44" s="16"/>
      <c r="B44" s="16"/>
      <c r="C44" s="16">
        <v>27</v>
      </c>
      <c r="D44" s="17">
        <f>Reference!B250</f>
        <v>0</v>
      </c>
      <c r="E44" s="18">
        <f>Reference!C250</f>
        <v>0</v>
      </c>
      <c r="F44" s="18">
        <f>Reference!D250</f>
        <v>0</v>
      </c>
      <c r="G44" s="18">
        <f>Reference!E250</f>
        <v>0</v>
      </c>
      <c r="H44" s="18">
        <f>Reference!F250</f>
        <v>0</v>
      </c>
      <c r="I44" s="18">
        <f>Reference!G250</f>
        <v>0</v>
      </c>
      <c r="J44" s="19">
        <f t="shared" si="3"/>
        <v>0</v>
      </c>
      <c r="L44" s="17">
        <f>Test!B250</f>
        <v>0</v>
      </c>
      <c r="M44" s="18">
        <f>Test!C250</f>
        <v>0</v>
      </c>
      <c r="N44" s="18">
        <f>Test!D250</f>
        <v>0</v>
      </c>
      <c r="O44" s="18">
        <f>Test!E250</f>
        <v>0</v>
      </c>
      <c r="P44" s="18">
        <f>Test!F250</f>
        <v>0</v>
      </c>
      <c r="Q44" s="18">
        <f>Test!G250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>
      <c r="A45" s="16"/>
      <c r="B45" s="16"/>
      <c r="C45" s="16">
        <v>32</v>
      </c>
      <c r="D45" s="17">
        <f>Reference!B251</f>
        <v>0</v>
      </c>
      <c r="E45" s="18">
        <f>Reference!C251</f>
        <v>0</v>
      </c>
      <c r="F45" s="18">
        <f>Reference!D251</f>
        <v>0</v>
      </c>
      <c r="G45" s="18">
        <f>Reference!E251</f>
        <v>0</v>
      </c>
      <c r="H45" s="18">
        <f>Reference!F251</f>
        <v>0</v>
      </c>
      <c r="I45" s="18">
        <f>Reference!G251</f>
        <v>0</v>
      </c>
      <c r="J45" s="19">
        <f t="shared" si="3"/>
        <v>0</v>
      </c>
      <c r="L45" s="17">
        <f>Test!B251</f>
        <v>0</v>
      </c>
      <c r="M45" s="18">
        <f>Test!C251</f>
        <v>0</v>
      </c>
      <c r="N45" s="18">
        <f>Test!D251</f>
        <v>0</v>
      </c>
      <c r="O45" s="18">
        <f>Test!E251</f>
        <v>0</v>
      </c>
      <c r="P45" s="18">
        <f>Test!F251</f>
        <v>0</v>
      </c>
      <c r="Q45" s="18">
        <f>Test!G251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>
      <c r="A46" s="21"/>
      <c r="B46" s="21"/>
      <c r="C46" s="21">
        <v>37</v>
      </c>
      <c r="D46" s="22">
        <f>Reference!B252</f>
        <v>0</v>
      </c>
      <c r="E46" s="23">
        <f>Reference!C252</f>
        <v>0</v>
      </c>
      <c r="F46" s="23">
        <f>Reference!D252</f>
        <v>0</v>
      </c>
      <c r="G46" s="23">
        <f>Reference!E252</f>
        <v>0</v>
      </c>
      <c r="H46" s="23">
        <f>Reference!F252</f>
        <v>0</v>
      </c>
      <c r="I46" s="23">
        <f>Reference!G252</f>
        <v>0</v>
      </c>
      <c r="J46" s="24">
        <f t="shared" si="3"/>
        <v>0</v>
      </c>
      <c r="L46" s="22">
        <f>Test!B252</f>
        <v>0</v>
      </c>
      <c r="M46" s="23">
        <f>Test!C252</f>
        <v>0</v>
      </c>
      <c r="N46" s="23">
        <f>Test!D252</f>
        <v>0</v>
      </c>
      <c r="O46" s="23">
        <f>Test!E252</f>
        <v>0</v>
      </c>
      <c r="P46" s="23">
        <f>Test!F252</f>
        <v>0</v>
      </c>
      <c r="Q46" s="23">
        <f>Test!G252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>
      <c r="A47" s="11" t="s">
        <v>5</v>
      </c>
      <c r="B47" s="11" t="s">
        <v>53</v>
      </c>
      <c r="C47" s="11">
        <v>22</v>
      </c>
      <c r="D47" s="12">
        <f>Reference!B253</f>
        <v>0</v>
      </c>
      <c r="E47" s="13">
        <f>Reference!C253</f>
        <v>0</v>
      </c>
      <c r="F47" s="13">
        <f>Reference!D253</f>
        <v>0</v>
      </c>
      <c r="G47" s="13">
        <f>Reference!E253</f>
        <v>0</v>
      </c>
      <c r="H47" s="13">
        <f>Reference!F253</f>
        <v>0</v>
      </c>
      <c r="I47" s="13">
        <f>Reference!G253</f>
        <v>0</v>
      </c>
      <c r="J47" s="14">
        <f t="shared" si="3"/>
        <v>0</v>
      </c>
      <c r="L47" s="12">
        <f>Test!B253</f>
        <v>0</v>
      </c>
      <c r="M47" s="13">
        <f>Test!C253</f>
        <v>0</v>
      </c>
      <c r="N47" s="13">
        <f>Test!D253</f>
        <v>0</v>
      </c>
      <c r="O47" s="13">
        <f>Test!E253</f>
        <v>0</v>
      </c>
      <c r="P47" s="13">
        <f>Test!F253</f>
        <v>0</v>
      </c>
      <c r="Q47" s="13">
        <f>Test!G253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>
      <c r="A48" s="16" t="s">
        <v>48</v>
      </c>
      <c r="B48" s="16"/>
      <c r="C48" s="16">
        <v>27</v>
      </c>
      <c r="D48" s="17">
        <f>Reference!B254</f>
        <v>0</v>
      </c>
      <c r="E48" s="18">
        <f>Reference!C254</f>
        <v>0</v>
      </c>
      <c r="F48" s="18">
        <f>Reference!D254</f>
        <v>0</v>
      </c>
      <c r="G48" s="18">
        <f>Reference!E254</f>
        <v>0</v>
      </c>
      <c r="H48" s="18">
        <f>Reference!F254</f>
        <v>0</v>
      </c>
      <c r="I48" s="18">
        <f>Reference!G254</f>
        <v>0</v>
      </c>
      <c r="J48" s="19">
        <f t="shared" si="3"/>
        <v>0</v>
      </c>
      <c r="L48" s="17">
        <f>Test!B254</f>
        <v>0</v>
      </c>
      <c r="M48" s="18">
        <f>Test!C254</f>
        <v>0</v>
      </c>
      <c r="N48" s="18">
        <f>Test!D254</f>
        <v>0</v>
      </c>
      <c r="O48" s="18">
        <f>Test!E254</f>
        <v>0</v>
      </c>
      <c r="P48" s="18">
        <f>Test!F254</f>
        <v>0</v>
      </c>
      <c r="Q48" s="18">
        <f>Test!G254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>
      <c r="A49" s="16"/>
      <c r="B49" s="16"/>
      <c r="C49" s="16">
        <v>32</v>
      </c>
      <c r="D49" s="17">
        <f>Reference!B255</f>
        <v>0</v>
      </c>
      <c r="E49" s="18">
        <f>Reference!C255</f>
        <v>0</v>
      </c>
      <c r="F49" s="18">
        <f>Reference!D255</f>
        <v>0</v>
      </c>
      <c r="G49" s="18">
        <f>Reference!E255</f>
        <v>0</v>
      </c>
      <c r="H49" s="18">
        <f>Reference!F255</f>
        <v>0</v>
      </c>
      <c r="I49" s="18">
        <f>Reference!G255</f>
        <v>0</v>
      </c>
      <c r="J49" s="19">
        <f t="shared" si="3"/>
        <v>0</v>
      </c>
      <c r="L49" s="17">
        <f>Test!B255</f>
        <v>0</v>
      </c>
      <c r="M49" s="18">
        <f>Test!C255</f>
        <v>0</v>
      </c>
      <c r="N49" s="18">
        <f>Test!D255</f>
        <v>0</v>
      </c>
      <c r="O49" s="18">
        <f>Test!E255</f>
        <v>0</v>
      </c>
      <c r="P49" s="18">
        <f>Test!F255</f>
        <v>0</v>
      </c>
      <c r="Q49" s="18">
        <f>Test!G255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>
      <c r="A50" s="16"/>
      <c r="B50" s="21"/>
      <c r="C50" s="21">
        <v>37</v>
      </c>
      <c r="D50" s="22">
        <f>Reference!B256</f>
        <v>0</v>
      </c>
      <c r="E50" s="23">
        <f>Reference!C256</f>
        <v>0</v>
      </c>
      <c r="F50" s="23">
        <f>Reference!D256</f>
        <v>0</v>
      </c>
      <c r="G50" s="23">
        <f>Reference!E256</f>
        <v>0</v>
      </c>
      <c r="H50" s="23">
        <f>Reference!F256</f>
        <v>0</v>
      </c>
      <c r="I50" s="23">
        <f>Reference!G256</f>
        <v>0</v>
      </c>
      <c r="J50" s="24">
        <f t="shared" si="3"/>
        <v>0</v>
      </c>
      <c r="L50" s="22">
        <f>Test!B256</f>
        <v>0</v>
      </c>
      <c r="M50" s="23">
        <f>Test!C256</f>
        <v>0</v>
      </c>
      <c r="N50" s="23">
        <f>Test!D256</f>
        <v>0</v>
      </c>
      <c r="O50" s="23">
        <f>Test!E256</f>
        <v>0</v>
      </c>
      <c r="P50" s="23">
        <f>Test!F256</f>
        <v>0</v>
      </c>
      <c r="Q50" s="23">
        <f>Test!G256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>
      <c r="A51" s="16"/>
      <c r="B51" s="11" t="s">
        <v>37</v>
      </c>
      <c r="C51" s="11">
        <v>22</v>
      </c>
      <c r="D51" s="12">
        <f>Reference!B257</f>
        <v>0</v>
      </c>
      <c r="E51" s="13">
        <f>Reference!C257</f>
        <v>0</v>
      </c>
      <c r="F51" s="13">
        <f>Reference!D257</f>
        <v>0</v>
      </c>
      <c r="G51" s="13">
        <f>Reference!E257</f>
        <v>0</v>
      </c>
      <c r="H51" s="13">
        <f>Reference!F257</f>
        <v>0</v>
      </c>
      <c r="I51" s="13">
        <f>Reference!G257</f>
        <v>0</v>
      </c>
      <c r="J51" s="14">
        <f t="shared" si="3"/>
        <v>0</v>
      </c>
      <c r="L51" s="12">
        <f>Test!B257</f>
        <v>0</v>
      </c>
      <c r="M51" s="13">
        <f>Test!C257</f>
        <v>0</v>
      </c>
      <c r="N51" s="13">
        <f>Test!D257</f>
        <v>0</v>
      </c>
      <c r="O51" s="13">
        <f>Test!E257</f>
        <v>0</v>
      </c>
      <c r="P51" s="13">
        <f>Test!F257</f>
        <v>0</v>
      </c>
      <c r="Q51" s="13">
        <f>Test!G257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>
      <c r="A52" s="16"/>
      <c r="B52" s="16"/>
      <c r="C52" s="16">
        <v>27</v>
      </c>
      <c r="D52" s="17">
        <f>Reference!B258</f>
        <v>0</v>
      </c>
      <c r="E52" s="18">
        <f>Reference!C258</f>
        <v>0</v>
      </c>
      <c r="F52" s="18">
        <f>Reference!D258</f>
        <v>0</v>
      </c>
      <c r="G52" s="18">
        <f>Reference!E258</f>
        <v>0</v>
      </c>
      <c r="H52" s="18">
        <f>Reference!F258</f>
        <v>0</v>
      </c>
      <c r="I52" s="18">
        <f>Reference!G258</f>
        <v>0</v>
      </c>
      <c r="J52" s="19">
        <f t="shared" si="3"/>
        <v>0</v>
      </c>
      <c r="L52" s="17">
        <f>Test!B258</f>
        <v>0</v>
      </c>
      <c r="M52" s="18">
        <f>Test!C258</f>
        <v>0</v>
      </c>
      <c r="N52" s="18">
        <f>Test!D258</f>
        <v>0</v>
      </c>
      <c r="O52" s="18">
        <f>Test!E258</f>
        <v>0</v>
      </c>
      <c r="P52" s="18">
        <f>Test!F258</f>
        <v>0</v>
      </c>
      <c r="Q52" s="18">
        <f>Test!G258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>
      <c r="A53" s="16"/>
      <c r="B53" s="16"/>
      <c r="C53" s="16">
        <v>32</v>
      </c>
      <c r="D53" s="17">
        <f>Reference!B259</f>
        <v>0</v>
      </c>
      <c r="E53" s="18">
        <f>Reference!C259</f>
        <v>0</v>
      </c>
      <c r="F53" s="18">
        <f>Reference!D259</f>
        <v>0</v>
      </c>
      <c r="G53" s="18">
        <f>Reference!E259</f>
        <v>0</v>
      </c>
      <c r="H53" s="18">
        <f>Reference!F259</f>
        <v>0</v>
      </c>
      <c r="I53" s="18">
        <f>Reference!G259</f>
        <v>0</v>
      </c>
      <c r="J53" s="19">
        <f t="shared" si="3"/>
        <v>0</v>
      </c>
      <c r="L53" s="17">
        <f>Test!B259</f>
        <v>0</v>
      </c>
      <c r="M53" s="18">
        <f>Test!C259</f>
        <v>0</v>
      </c>
      <c r="N53" s="18">
        <f>Test!D259</f>
        <v>0</v>
      </c>
      <c r="O53" s="18">
        <f>Test!E259</f>
        <v>0</v>
      </c>
      <c r="P53" s="18">
        <f>Test!F259</f>
        <v>0</v>
      </c>
      <c r="Q53" s="18">
        <f>Test!G259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>
      <c r="A54" s="16"/>
      <c r="B54" s="21"/>
      <c r="C54" s="21">
        <v>37</v>
      </c>
      <c r="D54" s="22">
        <f>Reference!B260</f>
        <v>0</v>
      </c>
      <c r="E54" s="23">
        <f>Reference!C260</f>
        <v>0</v>
      </c>
      <c r="F54" s="23">
        <f>Reference!D260</f>
        <v>0</v>
      </c>
      <c r="G54" s="23">
        <f>Reference!E260</f>
        <v>0</v>
      </c>
      <c r="H54" s="23">
        <f>Reference!F260</f>
        <v>0</v>
      </c>
      <c r="I54" s="23">
        <f>Reference!G260</f>
        <v>0</v>
      </c>
      <c r="J54" s="24">
        <f t="shared" si="3"/>
        <v>0</v>
      </c>
      <c r="L54" s="22">
        <f>Test!B260</f>
        <v>0</v>
      </c>
      <c r="M54" s="23">
        <f>Test!C260</f>
        <v>0</v>
      </c>
      <c r="N54" s="23">
        <f>Test!D260</f>
        <v>0</v>
      </c>
      <c r="O54" s="23">
        <f>Test!E260</f>
        <v>0</v>
      </c>
      <c r="P54" s="23">
        <f>Test!F260</f>
        <v>0</v>
      </c>
      <c r="Q54" s="23">
        <f>Test!G260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>
      <c r="A55" s="16"/>
      <c r="B55" s="11" t="s">
        <v>54</v>
      </c>
      <c r="C55" s="11">
        <v>22</v>
      </c>
      <c r="D55" s="12">
        <f>Reference!B261</f>
        <v>0</v>
      </c>
      <c r="E55" s="13">
        <f>Reference!C261</f>
        <v>0</v>
      </c>
      <c r="F55" s="13">
        <f>Reference!D261</f>
        <v>0</v>
      </c>
      <c r="G55" s="13">
        <f>Reference!E261</f>
        <v>0</v>
      </c>
      <c r="H55" s="13">
        <f>Reference!F261</f>
        <v>0</v>
      </c>
      <c r="I55" s="13">
        <f>Reference!G261</f>
        <v>0</v>
      </c>
      <c r="J55" s="14">
        <f t="shared" si="3"/>
        <v>0</v>
      </c>
      <c r="L55" s="12">
        <f>Test!B261</f>
        <v>0</v>
      </c>
      <c r="M55" s="13">
        <f>Test!C261</f>
        <v>0</v>
      </c>
      <c r="N55" s="13">
        <f>Test!D261</f>
        <v>0</v>
      </c>
      <c r="O55" s="13">
        <f>Test!E261</f>
        <v>0</v>
      </c>
      <c r="P55" s="13">
        <f>Test!F261</f>
        <v>0</v>
      </c>
      <c r="Q55" s="13">
        <f>Test!G261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>
      <c r="A56" s="16"/>
      <c r="B56" s="16"/>
      <c r="C56" s="16">
        <v>27</v>
      </c>
      <c r="D56" s="17">
        <f>Reference!B262</f>
        <v>0</v>
      </c>
      <c r="E56" s="18">
        <f>Reference!C262</f>
        <v>0</v>
      </c>
      <c r="F56" s="18">
        <f>Reference!D262</f>
        <v>0</v>
      </c>
      <c r="G56" s="18">
        <f>Reference!E262</f>
        <v>0</v>
      </c>
      <c r="H56" s="18">
        <f>Reference!F262</f>
        <v>0</v>
      </c>
      <c r="I56" s="18">
        <f>Reference!G262</f>
        <v>0</v>
      </c>
      <c r="J56" s="19">
        <f t="shared" si="3"/>
        <v>0</v>
      </c>
      <c r="L56" s="17">
        <f>Test!B262</f>
        <v>0</v>
      </c>
      <c r="M56" s="18">
        <f>Test!C262</f>
        <v>0</v>
      </c>
      <c r="N56" s="18">
        <f>Test!D262</f>
        <v>0</v>
      </c>
      <c r="O56" s="18">
        <f>Test!E262</f>
        <v>0</v>
      </c>
      <c r="P56" s="18">
        <f>Test!F262</f>
        <v>0</v>
      </c>
      <c r="Q56" s="18">
        <f>Test!G262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>
      <c r="A57" s="16"/>
      <c r="B57" s="16"/>
      <c r="C57" s="16">
        <v>32</v>
      </c>
      <c r="D57" s="17">
        <f>Reference!B263</f>
        <v>0</v>
      </c>
      <c r="E57" s="18">
        <f>Reference!C263</f>
        <v>0</v>
      </c>
      <c r="F57" s="18">
        <f>Reference!D263</f>
        <v>0</v>
      </c>
      <c r="G57" s="18">
        <f>Reference!E263</f>
        <v>0</v>
      </c>
      <c r="H57" s="18">
        <f>Reference!F263</f>
        <v>0</v>
      </c>
      <c r="I57" s="18">
        <f>Reference!G263</f>
        <v>0</v>
      </c>
      <c r="J57" s="19">
        <f t="shared" si="3"/>
        <v>0</v>
      </c>
      <c r="L57" s="17">
        <f>Test!B263</f>
        <v>0</v>
      </c>
      <c r="M57" s="18">
        <f>Test!C263</f>
        <v>0</v>
      </c>
      <c r="N57" s="18">
        <f>Test!D263</f>
        <v>0</v>
      </c>
      <c r="O57" s="18">
        <f>Test!E263</f>
        <v>0</v>
      </c>
      <c r="P57" s="18">
        <f>Test!F263</f>
        <v>0</v>
      </c>
      <c r="Q57" s="18">
        <f>Test!G263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>
      <c r="A58" s="16"/>
      <c r="B58" s="21"/>
      <c r="C58" s="21">
        <v>37</v>
      </c>
      <c r="D58" s="22">
        <f>Reference!B264</f>
        <v>0</v>
      </c>
      <c r="E58" s="23">
        <f>Reference!C264</f>
        <v>0</v>
      </c>
      <c r="F58" s="23">
        <f>Reference!D264</f>
        <v>0</v>
      </c>
      <c r="G58" s="23">
        <f>Reference!E264</f>
        <v>0</v>
      </c>
      <c r="H58" s="23">
        <f>Reference!F264</f>
        <v>0</v>
      </c>
      <c r="I58" s="23">
        <f>Reference!G264</f>
        <v>0</v>
      </c>
      <c r="J58" s="24">
        <f t="shared" si="3"/>
        <v>0</v>
      </c>
      <c r="L58" s="22">
        <f>Test!B264</f>
        <v>0</v>
      </c>
      <c r="M58" s="23">
        <f>Test!C264</f>
        <v>0</v>
      </c>
      <c r="N58" s="23">
        <f>Test!D264</f>
        <v>0</v>
      </c>
      <c r="O58" s="23">
        <f>Test!E264</f>
        <v>0</v>
      </c>
      <c r="P58" s="23">
        <f>Test!F264</f>
        <v>0</v>
      </c>
      <c r="Q58" s="23">
        <f>Test!G264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>
      <c r="A59" s="16"/>
      <c r="B59" s="11" t="s">
        <v>55</v>
      </c>
      <c r="C59" s="11">
        <v>22</v>
      </c>
      <c r="D59" s="12">
        <f>Reference!B265</f>
        <v>0</v>
      </c>
      <c r="E59" s="13">
        <f>Reference!C265</f>
        <v>0</v>
      </c>
      <c r="F59" s="13">
        <f>Reference!D265</f>
        <v>0</v>
      </c>
      <c r="G59" s="13">
        <f>Reference!E265</f>
        <v>0</v>
      </c>
      <c r="H59" s="13">
        <f>Reference!F265</f>
        <v>0</v>
      </c>
      <c r="I59" s="13">
        <f>Reference!G265</f>
        <v>0</v>
      </c>
      <c r="J59" s="14">
        <f t="shared" si="3"/>
        <v>0</v>
      </c>
      <c r="L59" s="12">
        <f>Test!B265</f>
        <v>0</v>
      </c>
      <c r="M59" s="13">
        <f>Test!C265</f>
        <v>0</v>
      </c>
      <c r="N59" s="13">
        <f>Test!D265</f>
        <v>0</v>
      </c>
      <c r="O59" s="13">
        <f>Test!E265</f>
        <v>0</v>
      </c>
      <c r="P59" s="13">
        <f>Test!F265</f>
        <v>0</v>
      </c>
      <c r="Q59" s="13">
        <f>Test!G265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>
      <c r="A60" s="16"/>
      <c r="B60" s="16"/>
      <c r="C60" s="16">
        <v>27</v>
      </c>
      <c r="D60" s="17">
        <f>Reference!B266</f>
        <v>0</v>
      </c>
      <c r="E60" s="18">
        <f>Reference!C266</f>
        <v>0</v>
      </c>
      <c r="F60" s="18">
        <f>Reference!D266</f>
        <v>0</v>
      </c>
      <c r="G60" s="18">
        <f>Reference!E266</f>
        <v>0</v>
      </c>
      <c r="H60" s="18">
        <f>Reference!F266</f>
        <v>0</v>
      </c>
      <c r="I60" s="18">
        <f>Reference!G266</f>
        <v>0</v>
      </c>
      <c r="J60" s="19">
        <f t="shared" si="3"/>
        <v>0</v>
      </c>
      <c r="L60" s="17">
        <f>Test!B266</f>
        <v>0</v>
      </c>
      <c r="M60" s="18">
        <f>Test!C266</f>
        <v>0</v>
      </c>
      <c r="N60" s="18">
        <f>Test!D266</f>
        <v>0</v>
      </c>
      <c r="O60" s="18">
        <f>Test!E266</f>
        <v>0</v>
      </c>
      <c r="P60" s="18">
        <f>Test!F266</f>
        <v>0</v>
      </c>
      <c r="Q60" s="18">
        <f>Test!G266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>
      <c r="A61" s="16"/>
      <c r="B61" s="16"/>
      <c r="C61" s="16">
        <v>32</v>
      </c>
      <c r="D61" s="17">
        <f>Reference!B267</f>
        <v>0</v>
      </c>
      <c r="E61" s="18">
        <f>Reference!C267</f>
        <v>0</v>
      </c>
      <c r="F61" s="18">
        <f>Reference!D267</f>
        <v>0</v>
      </c>
      <c r="G61" s="18">
        <f>Reference!E267</f>
        <v>0</v>
      </c>
      <c r="H61" s="18">
        <f>Reference!F267</f>
        <v>0</v>
      </c>
      <c r="I61" s="18">
        <f>Reference!G267</f>
        <v>0</v>
      </c>
      <c r="J61" s="19">
        <f t="shared" si="3"/>
        <v>0</v>
      </c>
      <c r="L61" s="17">
        <f>Test!B267</f>
        <v>0</v>
      </c>
      <c r="M61" s="18">
        <f>Test!C267</f>
        <v>0</v>
      </c>
      <c r="N61" s="18">
        <f>Test!D267</f>
        <v>0</v>
      </c>
      <c r="O61" s="18">
        <f>Test!E267</f>
        <v>0</v>
      </c>
      <c r="P61" s="18">
        <f>Test!F267</f>
        <v>0</v>
      </c>
      <c r="Q61" s="18">
        <f>Test!G267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>
      <c r="A62" s="21"/>
      <c r="B62" s="21"/>
      <c r="C62" s="21">
        <v>37</v>
      </c>
      <c r="D62" s="22">
        <f>Reference!B268</f>
        <v>0</v>
      </c>
      <c r="E62" s="23">
        <f>Reference!C268</f>
        <v>0</v>
      </c>
      <c r="F62" s="23">
        <f>Reference!D268</f>
        <v>0</v>
      </c>
      <c r="G62" s="23">
        <f>Reference!E268</f>
        <v>0</v>
      </c>
      <c r="H62" s="23">
        <f>Reference!F268</f>
        <v>0</v>
      </c>
      <c r="I62" s="23">
        <f>Reference!G268</f>
        <v>0</v>
      </c>
      <c r="J62" s="24">
        <f t="shared" si="3"/>
        <v>0</v>
      </c>
      <c r="L62" s="22">
        <f>Test!B268</f>
        <v>0</v>
      </c>
      <c r="M62" s="23">
        <f>Test!C268</f>
        <v>0</v>
      </c>
      <c r="N62" s="23">
        <f>Test!D268</f>
        <v>0</v>
      </c>
      <c r="O62" s="23">
        <f>Test!E268</f>
        <v>0</v>
      </c>
      <c r="P62" s="23">
        <f>Test!F268</f>
        <v>0</v>
      </c>
      <c r="Q62" s="23">
        <f>Test!G268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>
      <c r="A63" s="11" t="s">
        <v>6</v>
      </c>
      <c r="B63" s="11" t="s">
        <v>56</v>
      </c>
      <c r="C63" s="11">
        <f>C59</f>
        <v>22</v>
      </c>
      <c r="D63" s="12">
        <f>Reference!B269</f>
        <v>0</v>
      </c>
      <c r="E63" s="13">
        <f>Reference!C269</f>
        <v>0</v>
      </c>
      <c r="F63" s="13">
        <f>Reference!D269</f>
        <v>0</v>
      </c>
      <c r="G63" s="13">
        <f>Reference!E269</f>
        <v>0</v>
      </c>
      <c r="H63" s="13">
        <f>Reference!F269</f>
        <v>0</v>
      </c>
      <c r="I63" s="13">
        <f>Reference!G269</f>
        <v>0</v>
      </c>
      <c r="J63" s="14">
        <f t="shared" si="3"/>
        <v>0</v>
      </c>
      <c r="L63" s="12">
        <f>Test!B269</f>
        <v>0</v>
      </c>
      <c r="M63" s="13">
        <f>Test!C269</f>
        <v>0</v>
      </c>
      <c r="N63" s="13">
        <f>Test!D269</f>
        <v>0</v>
      </c>
      <c r="O63" s="13">
        <f>Test!E269</f>
        <v>0</v>
      </c>
      <c r="P63" s="13">
        <f>Test!F269</f>
        <v>0</v>
      </c>
      <c r="Q63" s="13">
        <f>Test!G269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>
      <c r="A64" s="16" t="s">
        <v>49</v>
      </c>
      <c r="B64" s="16"/>
      <c r="C64" s="16">
        <f>C60</f>
        <v>27</v>
      </c>
      <c r="D64" s="17">
        <f>Reference!B270</f>
        <v>0</v>
      </c>
      <c r="E64" s="18">
        <f>Reference!C270</f>
        <v>0</v>
      </c>
      <c r="F64" s="18">
        <f>Reference!D270</f>
        <v>0</v>
      </c>
      <c r="G64" s="18">
        <f>Reference!E270</f>
        <v>0</v>
      </c>
      <c r="H64" s="18">
        <f>Reference!F270</f>
        <v>0</v>
      </c>
      <c r="I64" s="18">
        <f>Reference!G270</f>
        <v>0</v>
      </c>
      <c r="J64" s="19">
        <f t="shared" si="3"/>
        <v>0</v>
      </c>
      <c r="L64" s="17">
        <f>Test!B270</f>
        <v>0</v>
      </c>
      <c r="M64" s="18">
        <f>Test!C270</f>
        <v>0</v>
      </c>
      <c r="N64" s="18">
        <f>Test!D270</f>
        <v>0</v>
      </c>
      <c r="O64" s="18">
        <f>Test!E270</f>
        <v>0</v>
      </c>
      <c r="P64" s="18">
        <f>Test!F270</f>
        <v>0</v>
      </c>
      <c r="Q64" s="18">
        <f>Test!G270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>
      <c r="A65" s="16"/>
      <c r="B65" s="16"/>
      <c r="C65" s="16">
        <f>C61</f>
        <v>32</v>
      </c>
      <c r="D65" s="17">
        <f>Reference!B271</f>
        <v>0</v>
      </c>
      <c r="E65" s="18">
        <f>Reference!C271</f>
        <v>0</v>
      </c>
      <c r="F65" s="18">
        <f>Reference!D271</f>
        <v>0</v>
      </c>
      <c r="G65" s="18">
        <f>Reference!E271</f>
        <v>0</v>
      </c>
      <c r="H65" s="18">
        <f>Reference!F271</f>
        <v>0</v>
      </c>
      <c r="I65" s="18">
        <f>Reference!G271</f>
        <v>0</v>
      </c>
      <c r="J65" s="19">
        <f t="shared" si="3"/>
        <v>0</v>
      </c>
      <c r="L65" s="17">
        <f>Test!B271</f>
        <v>0</v>
      </c>
      <c r="M65" s="18">
        <f>Test!C271</f>
        <v>0</v>
      </c>
      <c r="N65" s="18">
        <f>Test!D271</f>
        <v>0</v>
      </c>
      <c r="O65" s="18">
        <f>Test!E271</f>
        <v>0</v>
      </c>
      <c r="P65" s="18">
        <f>Test!F271</f>
        <v>0</v>
      </c>
      <c r="Q65" s="18">
        <f>Test!G271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>
      <c r="A66" s="16"/>
      <c r="B66" s="21"/>
      <c r="C66" s="21">
        <f>C62</f>
        <v>37</v>
      </c>
      <c r="D66" s="22">
        <f>Reference!B272</f>
        <v>0</v>
      </c>
      <c r="E66" s="23">
        <f>Reference!C272</f>
        <v>0</v>
      </c>
      <c r="F66" s="23">
        <f>Reference!D272</f>
        <v>0</v>
      </c>
      <c r="G66" s="23">
        <f>Reference!E272</f>
        <v>0</v>
      </c>
      <c r="H66" s="23">
        <f>Reference!F272</f>
        <v>0</v>
      </c>
      <c r="I66" s="23">
        <f>Reference!G272</f>
        <v>0</v>
      </c>
      <c r="J66" s="24">
        <f t="shared" si="3"/>
        <v>0</v>
      </c>
      <c r="L66" s="22">
        <f>Test!B272</f>
        <v>0</v>
      </c>
      <c r="M66" s="23">
        <f>Test!C272</f>
        <v>0</v>
      </c>
      <c r="N66" s="23">
        <f>Test!D272</f>
        <v>0</v>
      </c>
      <c r="O66" s="23">
        <f>Test!E272</f>
        <v>0</v>
      </c>
      <c r="P66" s="23">
        <f>Test!F272</f>
        <v>0</v>
      </c>
      <c r="Q66" s="23">
        <f>Test!G272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>
      <c r="A67" s="16"/>
      <c r="B67" s="11" t="s">
        <v>57</v>
      </c>
      <c r="C67" s="11">
        <v>22</v>
      </c>
      <c r="D67" s="12">
        <f>Reference!B273</f>
        <v>0</v>
      </c>
      <c r="E67" s="13">
        <f>Reference!C273</f>
        <v>0</v>
      </c>
      <c r="F67" s="13">
        <f>Reference!D273</f>
        <v>0</v>
      </c>
      <c r="G67" s="13">
        <f>Reference!E273</f>
        <v>0</v>
      </c>
      <c r="H67" s="13">
        <f>Reference!F273</f>
        <v>0</v>
      </c>
      <c r="I67" s="13">
        <f>Reference!G273</f>
        <v>0</v>
      </c>
      <c r="J67" s="14">
        <f t="shared" si="3"/>
        <v>0</v>
      </c>
      <c r="L67" s="12">
        <f>Test!B273</f>
        <v>0</v>
      </c>
      <c r="M67" s="13">
        <f>Test!C273</f>
        <v>0</v>
      </c>
      <c r="N67" s="13">
        <f>Test!D273</f>
        <v>0</v>
      </c>
      <c r="O67" s="13">
        <f>Test!E273</f>
        <v>0</v>
      </c>
      <c r="P67" s="13">
        <f>Test!F273</f>
        <v>0</v>
      </c>
      <c r="Q67" s="13">
        <f>Test!G273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>
      <c r="A68" s="16"/>
      <c r="B68" s="16"/>
      <c r="C68" s="16">
        <v>27</v>
      </c>
      <c r="D68" s="17">
        <f>Reference!B274</f>
        <v>0</v>
      </c>
      <c r="E68" s="18">
        <f>Reference!C274</f>
        <v>0</v>
      </c>
      <c r="F68" s="18">
        <f>Reference!D274</f>
        <v>0</v>
      </c>
      <c r="G68" s="18">
        <f>Reference!E274</f>
        <v>0</v>
      </c>
      <c r="H68" s="18">
        <f>Reference!F274</f>
        <v>0</v>
      </c>
      <c r="I68" s="18">
        <f>Reference!G274</f>
        <v>0</v>
      </c>
      <c r="J68" s="19">
        <f t="shared" si="3"/>
        <v>0</v>
      </c>
      <c r="L68" s="17">
        <f>Test!B274</f>
        <v>0</v>
      </c>
      <c r="M68" s="18">
        <f>Test!C274</f>
        <v>0</v>
      </c>
      <c r="N68" s="18">
        <f>Test!D274</f>
        <v>0</v>
      </c>
      <c r="O68" s="18">
        <f>Test!E274</f>
        <v>0</v>
      </c>
      <c r="P68" s="18">
        <f>Test!F274</f>
        <v>0</v>
      </c>
      <c r="Q68" s="18">
        <f>Test!G274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>
      <c r="A69" s="16"/>
      <c r="B69" s="16"/>
      <c r="C69" s="16">
        <v>32</v>
      </c>
      <c r="D69" s="17">
        <f>Reference!B275</f>
        <v>0</v>
      </c>
      <c r="E69" s="18">
        <f>Reference!C275</f>
        <v>0</v>
      </c>
      <c r="F69" s="18">
        <f>Reference!D275</f>
        <v>0</v>
      </c>
      <c r="G69" s="18">
        <f>Reference!E275</f>
        <v>0</v>
      </c>
      <c r="H69" s="18">
        <f>Reference!F275</f>
        <v>0</v>
      </c>
      <c r="I69" s="18">
        <f>Reference!G275</f>
        <v>0</v>
      </c>
      <c r="J69" s="19">
        <f t="shared" si="3"/>
        <v>0</v>
      </c>
      <c r="L69" s="17">
        <f>Test!B275</f>
        <v>0</v>
      </c>
      <c r="M69" s="18">
        <f>Test!C275</f>
        <v>0</v>
      </c>
      <c r="N69" s="18">
        <f>Test!D275</f>
        <v>0</v>
      </c>
      <c r="O69" s="18">
        <f>Test!E275</f>
        <v>0</v>
      </c>
      <c r="P69" s="18">
        <f>Test!F275</f>
        <v>0</v>
      </c>
      <c r="Q69" s="18">
        <f>Test!G275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>
      <c r="A70" s="16"/>
      <c r="B70" s="21"/>
      <c r="C70" s="21">
        <v>37</v>
      </c>
      <c r="D70" s="22">
        <f>Reference!B276</f>
        <v>0</v>
      </c>
      <c r="E70" s="23">
        <f>Reference!C276</f>
        <v>0</v>
      </c>
      <c r="F70" s="23">
        <f>Reference!D276</f>
        <v>0</v>
      </c>
      <c r="G70" s="23">
        <f>Reference!E276</f>
        <v>0</v>
      </c>
      <c r="H70" s="23">
        <f>Reference!F276</f>
        <v>0</v>
      </c>
      <c r="I70" s="23">
        <f>Reference!G276</f>
        <v>0</v>
      </c>
      <c r="J70" s="24">
        <f t="shared" si="3"/>
        <v>0</v>
      </c>
      <c r="L70" s="22">
        <f>Test!B276</f>
        <v>0</v>
      </c>
      <c r="M70" s="23">
        <f>Test!C276</f>
        <v>0</v>
      </c>
      <c r="N70" s="23">
        <f>Test!D276</f>
        <v>0</v>
      </c>
      <c r="O70" s="23">
        <f>Test!E276</f>
        <v>0</v>
      </c>
      <c r="P70" s="23">
        <f>Test!F276</f>
        <v>0</v>
      </c>
      <c r="Q70" s="23">
        <f>Test!G276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>
      <c r="A71" s="16"/>
      <c r="B71" s="11" t="s">
        <v>58</v>
      </c>
      <c r="C71" s="11">
        <v>22</v>
      </c>
      <c r="D71" s="12">
        <f>Reference!B277</f>
        <v>0</v>
      </c>
      <c r="E71" s="13">
        <f>Reference!C277</f>
        <v>0</v>
      </c>
      <c r="F71" s="13">
        <f>Reference!D277</f>
        <v>0</v>
      </c>
      <c r="G71" s="13">
        <f>Reference!E277</f>
        <v>0</v>
      </c>
      <c r="H71" s="13">
        <f>Reference!F277</f>
        <v>0</v>
      </c>
      <c r="I71" s="13">
        <f>Reference!G277</f>
        <v>0</v>
      </c>
      <c r="J71" s="14">
        <f t="shared" si="3"/>
        <v>0</v>
      </c>
      <c r="L71" s="12">
        <f>Test!B277</f>
        <v>0</v>
      </c>
      <c r="M71" s="13">
        <f>Test!C277</f>
        <v>0</v>
      </c>
      <c r="N71" s="13">
        <f>Test!D277</f>
        <v>0</v>
      </c>
      <c r="O71" s="13">
        <f>Test!E277</f>
        <v>0</v>
      </c>
      <c r="P71" s="13">
        <f>Test!F277</f>
        <v>0</v>
      </c>
      <c r="Q71" s="13">
        <f>Test!G277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>
      <c r="A72" s="16"/>
      <c r="B72" s="16"/>
      <c r="C72" s="16">
        <v>27</v>
      </c>
      <c r="D72" s="17">
        <f>Reference!B278</f>
        <v>0</v>
      </c>
      <c r="E72" s="18">
        <f>Reference!C278</f>
        <v>0</v>
      </c>
      <c r="F72" s="18">
        <f>Reference!D278</f>
        <v>0</v>
      </c>
      <c r="G72" s="18">
        <f>Reference!E278</f>
        <v>0</v>
      </c>
      <c r="H72" s="18">
        <f>Reference!F278</f>
        <v>0</v>
      </c>
      <c r="I72" s="18">
        <f>Reference!G278</f>
        <v>0</v>
      </c>
      <c r="J72" s="19">
        <f t="shared" si="3"/>
        <v>0</v>
      </c>
      <c r="L72" s="17">
        <f>Test!B278</f>
        <v>0</v>
      </c>
      <c r="M72" s="18">
        <f>Test!C278</f>
        <v>0</v>
      </c>
      <c r="N72" s="18">
        <f>Test!D278</f>
        <v>0</v>
      </c>
      <c r="O72" s="18">
        <f>Test!E278</f>
        <v>0</v>
      </c>
      <c r="P72" s="18">
        <f>Test!F278</f>
        <v>0</v>
      </c>
      <c r="Q72" s="18">
        <f>Test!G278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>
      <c r="A73" s="16"/>
      <c r="B73" s="16"/>
      <c r="C73" s="16">
        <v>32</v>
      </c>
      <c r="D73" s="17">
        <f>Reference!B279</f>
        <v>0</v>
      </c>
      <c r="E73" s="18">
        <f>Reference!C279</f>
        <v>0</v>
      </c>
      <c r="F73" s="18">
        <f>Reference!D279</f>
        <v>0</v>
      </c>
      <c r="G73" s="18">
        <f>Reference!E279</f>
        <v>0</v>
      </c>
      <c r="H73" s="18">
        <f>Reference!F279</f>
        <v>0</v>
      </c>
      <c r="I73" s="18">
        <f>Reference!G279</f>
        <v>0</v>
      </c>
      <c r="J73" s="19">
        <f t="shared" si="3"/>
        <v>0</v>
      </c>
      <c r="L73" s="17">
        <f>Test!B279</f>
        <v>0</v>
      </c>
      <c r="M73" s="18">
        <f>Test!C279</f>
        <v>0</v>
      </c>
      <c r="N73" s="18">
        <f>Test!D279</f>
        <v>0</v>
      </c>
      <c r="O73" s="18">
        <f>Test!E279</f>
        <v>0</v>
      </c>
      <c r="P73" s="18">
        <f>Test!F279</f>
        <v>0</v>
      </c>
      <c r="Q73" s="18">
        <f>Test!G279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>
      <c r="A74" s="16"/>
      <c r="B74" s="21"/>
      <c r="C74" s="21">
        <v>37</v>
      </c>
      <c r="D74" s="22">
        <f>Reference!B280</f>
        <v>0</v>
      </c>
      <c r="E74" s="23">
        <f>Reference!C280</f>
        <v>0</v>
      </c>
      <c r="F74" s="23">
        <f>Reference!D280</f>
        <v>0</v>
      </c>
      <c r="G74" s="23">
        <f>Reference!E280</f>
        <v>0</v>
      </c>
      <c r="H74" s="23">
        <f>Reference!F280</f>
        <v>0</v>
      </c>
      <c r="I74" s="23">
        <f>Reference!G280</f>
        <v>0</v>
      </c>
      <c r="J74" s="24">
        <f t="shared" si="3"/>
        <v>0</v>
      </c>
      <c r="L74" s="22">
        <f>Test!B280</f>
        <v>0</v>
      </c>
      <c r="M74" s="23">
        <f>Test!C280</f>
        <v>0</v>
      </c>
      <c r="N74" s="23">
        <f>Test!D280</f>
        <v>0</v>
      </c>
      <c r="O74" s="23">
        <f>Test!E280</f>
        <v>0</v>
      </c>
      <c r="P74" s="23">
        <f>Test!F280</f>
        <v>0</v>
      </c>
      <c r="Q74" s="23">
        <f>Test!G280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>
      <c r="A75" s="16"/>
      <c r="B75" s="11" t="s">
        <v>55</v>
      </c>
      <c r="C75" s="11">
        <v>22</v>
      </c>
      <c r="D75" s="12">
        <f>Reference!B281</f>
        <v>0</v>
      </c>
      <c r="E75" s="13">
        <f>Reference!C281</f>
        <v>0</v>
      </c>
      <c r="F75" s="13">
        <f>Reference!D281</f>
        <v>0</v>
      </c>
      <c r="G75" s="13">
        <f>Reference!E281</f>
        <v>0</v>
      </c>
      <c r="H75" s="13">
        <f>Reference!F281</f>
        <v>0</v>
      </c>
      <c r="I75" s="13">
        <f>Reference!G281</f>
        <v>0</v>
      </c>
      <c r="J75" s="14">
        <f t="shared" si="3"/>
        <v>0</v>
      </c>
      <c r="L75" s="12">
        <f>Test!B281</f>
        <v>0</v>
      </c>
      <c r="M75" s="13">
        <f>Test!C281</f>
        <v>0</v>
      </c>
      <c r="N75" s="13">
        <f>Test!D281</f>
        <v>0</v>
      </c>
      <c r="O75" s="13">
        <f>Test!E281</f>
        <v>0</v>
      </c>
      <c r="P75" s="13">
        <f>Test!F281</f>
        <v>0</v>
      </c>
      <c r="Q75" s="13">
        <f>Test!G281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>
      <c r="A76" s="16"/>
      <c r="B76" s="16"/>
      <c r="C76" s="16">
        <v>27</v>
      </c>
      <c r="D76" s="17">
        <f>Reference!B282</f>
        <v>0</v>
      </c>
      <c r="E76" s="18">
        <f>Reference!C282</f>
        <v>0</v>
      </c>
      <c r="F76" s="18">
        <f>Reference!D282</f>
        <v>0</v>
      </c>
      <c r="G76" s="18">
        <f>Reference!E282</f>
        <v>0</v>
      </c>
      <c r="H76" s="18">
        <f>Reference!F282</f>
        <v>0</v>
      </c>
      <c r="I76" s="18">
        <f>Reference!G282</f>
        <v>0</v>
      </c>
      <c r="J76" s="19">
        <f t="shared" si="3"/>
        <v>0</v>
      </c>
      <c r="L76" s="17">
        <f>Test!B282</f>
        <v>0</v>
      </c>
      <c r="M76" s="18">
        <f>Test!C282</f>
        <v>0</v>
      </c>
      <c r="N76" s="18">
        <f>Test!D282</f>
        <v>0</v>
      </c>
      <c r="O76" s="18">
        <f>Test!E282</f>
        <v>0</v>
      </c>
      <c r="P76" s="18">
        <f>Test!F282</f>
        <v>0</v>
      </c>
      <c r="Q76" s="18">
        <f>Test!G282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>
      <c r="A77" s="16"/>
      <c r="B77" s="16"/>
      <c r="C77" s="16">
        <v>32</v>
      </c>
      <c r="D77" s="17">
        <f>Reference!B283</f>
        <v>0</v>
      </c>
      <c r="E77" s="18">
        <f>Reference!C283</f>
        <v>0</v>
      </c>
      <c r="F77" s="18">
        <f>Reference!D283</f>
        <v>0</v>
      </c>
      <c r="G77" s="18">
        <f>Reference!E283</f>
        <v>0</v>
      </c>
      <c r="H77" s="18">
        <f>Reference!F283</f>
        <v>0</v>
      </c>
      <c r="I77" s="18">
        <f>Reference!G283</f>
        <v>0</v>
      </c>
      <c r="J77" s="19">
        <f t="shared" si="3"/>
        <v>0</v>
      </c>
      <c r="L77" s="17">
        <f>Test!B283</f>
        <v>0</v>
      </c>
      <c r="M77" s="18">
        <f>Test!C283</f>
        <v>0</v>
      </c>
      <c r="N77" s="18">
        <f>Test!D283</f>
        <v>0</v>
      </c>
      <c r="O77" s="18">
        <f>Test!E283</f>
        <v>0</v>
      </c>
      <c r="P77" s="18">
        <f>Test!F283</f>
        <v>0</v>
      </c>
      <c r="Q77" s="18">
        <f>Test!G283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>
      <c r="A78" s="21"/>
      <c r="B78" s="21"/>
      <c r="C78" s="21">
        <v>37</v>
      </c>
      <c r="D78" s="22">
        <f>Reference!B284</f>
        <v>0</v>
      </c>
      <c r="E78" s="23">
        <f>Reference!C284</f>
        <v>0</v>
      </c>
      <c r="F78" s="23">
        <f>Reference!D284</f>
        <v>0</v>
      </c>
      <c r="G78" s="23">
        <f>Reference!E284</f>
        <v>0</v>
      </c>
      <c r="H78" s="23">
        <f>Reference!F284</f>
        <v>0</v>
      </c>
      <c r="I78" s="23">
        <f>Reference!G284</f>
        <v>0</v>
      </c>
      <c r="J78" s="24">
        <f t="shared" si="3"/>
        <v>0</v>
      </c>
      <c r="L78" s="22">
        <f>Test!B284</f>
        <v>0</v>
      </c>
      <c r="M78" s="23">
        <f>Test!C284</f>
        <v>0</v>
      </c>
      <c r="N78" s="23">
        <f>Test!D284</f>
        <v>0</v>
      </c>
      <c r="O78" s="23">
        <f>Test!E284</f>
        <v>0</v>
      </c>
      <c r="P78" s="23">
        <f>Test!F284</f>
        <v>0</v>
      </c>
      <c r="Q78" s="23">
        <f>Test!G284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>
      <c r="A79" s="11" t="s">
        <v>50</v>
      </c>
      <c r="B79" s="11" t="s">
        <v>59</v>
      </c>
      <c r="C79" s="11">
        <v>22</v>
      </c>
      <c r="D79" s="12">
        <f>Reference!B285</f>
        <v>0</v>
      </c>
      <c r="E79" s="13">
        <f>Reference!C285</f>
        <v>0</v>
      </c>
      <c r="F79" s="13">
        <f>Reference!D285</f>
        <v>0</v>
      </c>
      <c r="G79" s="13">
        <f>Reference!E285</f>
        <v>0</v>
      </c>
      <c r="H79" s="13">
        <f>Reference!F285</f>
        <v>0</v>
      </c>
      <c r="I79" s="13">
        <f>Reference!G285</f>
        <v>0</v>
      </c>
      <c r="J79" s="14">
        <f t="shared" si="3"/>
        <v>0</v>
      </c>
      <c r="L79" s="12">
        <f>Test!B285</f>
        <v>0</v>
      </c>
      <c r="M79" s="13">
        <f>Test!C285</f>
        <v>0</v>
      </c>
      <c r="N79" s="13">
        <f>Test!D285</f>
        <v>0</v>
      </c>
      <c r="O79" s="13">
        <f>Test!E285</f>
        <v>0</v>
      </c>
      <c r="P79" s="13">
        <f>Test!F285</f>
        <v>0</v>
      </c>
      <c r="Q79" s="13">
        <f>Test!G285</f>
        <v>0</v>
      </c>
      <c r="R79" s="14">
        <f t="shared" si="1"/>
        <v>0</v>
      </c>
      <c r="S79" s="13" t="e">
        <f t="shared" si="5"/>
        <v>#DIV/0!</v>
      </c>
      <c r="T79" s="13" t="e">
        <f t="shared" si="5"/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>
      <c r="A80" s="16" t="s">
        <v>51</v>
      </c>
      <c r="B80" s="16"/>
      <c r="C80" s="16">
        <v>27</v>
      </c>
      <c r="D80" s="17">
        <f>Reference!B286</f>
        <v>0</v>
      </c>
      <c r="E80" s="18">
        <f>Reference!C286</f>
        <v>0</v>
      </c>
      <c r="F80" s="18">
        <f>Reference!D286</f>
        <v>0</v>
      </c>
      <c r="G80" s="18">
        <f>Reference!E286</f>
        <v>0</v>
      </c>
      <c r="H80" s="18">
        <f>Reference!F286</f>
        <v>0</v>
      </c>
      <c r="I80" s="18">
        <f>Reference!G286</f>
        <v>0</v>
      </c>
      <c r="J80" s="19">
        <f t="shared" si="3"/>
        <v>0</v>
      </c>
      <c r="L80" s="17">
        <f>Test!B286</f>
        <v>0</v>
      </c>
      <c r="M80" s="18">
        <f>Test!C286</f>
        <v>0</v>
      </c>
      <c r="N80" s="18">
        <f>Test!D286</f>
        <v>0</v>
      </c>
      <c r="O80" s="18">
        <f>Test!E286</f>
        <v>0</v>
      </c>
      <c r="P80" s="18">
        <f>Test!F286</f>
        <v>0</v>
      </c>
      <c r="Q80" s="18">
        <f>Test!G286</f>
        <v>0</v>
      </c>
      <c r="R80" s="19">
        <f t="shared" ref="R80:R106" si="6">P80/3600</f>
        <v>0</v>
      </c>
      <c r="S80" s="18" t="e">
        <f t="shared" si="5"/>
        <v>#DIV/0!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>
      <c r="A81" s="16"/>
      <c r="B81" s="16"/>
      <c r="C81" s="16">
        <v>32</v>
      </c>
      <c r="D81" s="17">
        <f>Reference!B287</f>
        <v>0</v>
      </c>
      <c r="E81" s="18">
        <f>Reference!C287</f>
        <v>0</v>
      </c>
      <c r="F81" s="18">
        <f>Reference!D287</f>
        <v>0</v>
      </c>
      <c r="G81" s="18">
        <f>Reference!E287</f>
        <v>0</v>
      </c>
      <c r="H81" s="18">
        <f>Reference!F287</f>
        <v>0</v>
      </c>
      <c r="I81" s="18">
        <f>Reference!G287</f>
        <v>0</v>
      </c>
      <c r="J81" s="19">
        <f t="shared" si="3"/>
        <v>0</v>
      </c>
      <c r="L81" s="17">
        <f>Test!B287</f>
        <v>0</v>
      </c>
      <c r="M81" s="18">
        <f>Test!C287</f>
        <v>0</v>
      </c>
      <c r="N81" s="18">
        <f>Test!D287</f>
        <v>0</v>
      </c>
      <c r="O81" s="18">
        <f>Test!E287</f>
        <v>0</v>
      </c>
      <c r="P81" s="18">
        <f>Test!F287</f>
        <v>0</v>
      </c>
      <c r="Q81" s="18">
        <f>Test!G287</f>
        <v>0</v>
      </c>
      <c r="R81" s="19">
        <f t="shared" si="6"/>
        <v>0</v>
      </c>
      <c r="S81" s="18" t="e">
        <f t="shared" si="5"/>
        <v>#DIV/0!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>
      <c r="A82" s="16"/>
      <c r="B82" s="21"/>
      <c r="C82" s="21">
        <v>37</v>
      </c>
      <c r="D82" s="22">
        <f>Reference!B288</f>
        <v>0</v>
      </c>
      <c r="E82" s="23">
        <f>Reference!C288</f>
        <v>0</v>
      </c>
      <c r="F82" s="23">
        <f>Reference!D288</f>
        <v>0</v>
      </c>
      <c r="G82" s="23">
        <f>Reference!E288</f>
        <v>0</v>
      </c>
      <c r="H82" s="23">
        <f>Reference!F288</f>
        <v>0</v>
      </c>
      <c r="I82" s="23">
        <f>Reference!G288</f>
        <v>0</v>
      </c>
      <c r="J82" s="24">
        <f t="shared" si="3"/>
        <v>0</v>
      </c>
      <c r="L82" s="22">
        <f>Test!B288</f>
        <v>0</v>
      </c>
      <c r="M82" s="23">
        <f>Test!C288</f>
        <v>0</v>
      </c>
      <c r="N82" s="23">
        <f>Test!D288</f>
        <v>0</v>
      </c>
      <c r="O82" s="23">
        <f>Test!E288</f>
        <v>0</v>
      </c>
      <c r="P82" s="23">
        <f>Test!F288</f>
        <v>0</v>
      </c>
      <c r="Q82" s="23">
        <f>Test!G288</f>
        <v>0</v>
      </c>
      <c r="R82" s="24">
        <f t="shared" si="6"/>
        <v>0</v>
      </c>
      <c r="S82" s="18" t="e">
        <f t="shared" si="5"/>
        <v>#DIV/0!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>
      <c r="A83" s="16"/>
      <c r="B83" s="11" t="s">
        <v>60</v>
      </c>
      <c r="C83" s="11">
        <v>22</v>
      </c>
      <c r="D83" s="12">
        <f>Reference!B289</f>
        <v>0</v>
      </c>
      <c r="E83" s="13">
        <f>Reference!C289</f>
        <v>0</v>
      </c>
      <c r="F83" s="13">
        <f>Reference!D289</f>
        <v>0</v>
      </c>
      <c r="G83" s="13">
        <f>Reference!E289</f>
        <v>0</v>
      </c>
      <c r="H83" s="13">
        <f>Reference!F289</f>
        <v>0</v>
      </c>
      <c r="I83" s="13">
        <f>Reference!G289</f>
        <v>0</v>
      </c>
      <c r="J83" s="14">
        <f t="shared" si="3"/>
        <v>0</v>
      </c>
      <c r="L83" s="12">
        <f>Test!B289</f>
        <v>0</v>
      </c>
      <c r="M83" s="13">
        <f>Test!C289</f>
        <v>0</v>
      </c>
      <c r="N83" s="13">
        <f>Test!D289</f>
        <v>0</v>
      </c>
      <c r="O83" s="13">
        <f>Test!E289</f>
        <v>0</v>
      </c>
      <c r="P83" s="13">
        <f>Test!F289</f>
        <v>0</v>
      </c>
      <c r="Q83" s="13">
        <f>Test!G289</f>
        <v>0</v>
      </c>
      <c r="R83" s="14">
        <f t="shared" si="6"/>
        <v>0</v>
      </c>
      <c r="S83" s="18" t="e">
        <f t="shared" si="5"/>
        <v>#DIV/0!</v>
      </c>
      <c r="T83" s="18" t="e">
        <f t="shared" si="5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>
      <c r="A84" s="16"/>
      <c r="B84" s="16"/>
      <c r="C84" s="16">
        <v>27</v>
      </c>
      <c r="D84" s="17">
        <f>Reference!B290</f>
        <v>0</v>
      </c>
      <c r="E84" s="18">
        <f>Reference!C290</f>
        <v>0</v>
      </c>
      <c r="F84" s="18">
        <f>Reference!D290</f>
        <v>0</v>
      </c>
      <c r="G84" s="18">
        <f>Reference!E290</f>
        <v>0</v>
      </c>
      <c r="H84" s="18">
        <f>Reference!F290</f>
        <v>0</v>
      </c>
      <c r="I84" s="18">
        <f>Reference!G290</f>
        <v>0</v>
      </c>
      <c r="J84" s="19">
        <f t="shared" si="3"/>
        <v>0</v>
      </c>
      <c r="L84" s="17">
        <f>Test!B290</f>
        <v>0</v>
      </c>
      <c r="M84" s="18">
        <f>Test!C290</f>
        <v>0</v>
      </c>
      <c r="N84" s="18">
        <f>Test!D290</f>
        <v>0</v>
      </c>
      <c r="O84" s="18">
        <f>Test!E290</f>
        <v>0</v>
      </c>
      <c r="P84" s="18">
        <f>Test!F290</f>
        <v>0</v>
      </c>
      <c r="Q84" s="18">
        <f>Test!G290</f>
        <v>0</v>
      </c>
      <c r="R84" s="19">
        <f t="shared" si="6"/>
        <v>0</v>
      </c>
      <c r="S84" s="18" t="e">
        <f t="shared" si="5"/>
        <v>#DIV/0!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>
      <c r="A85" s="16"/>
      <c r="B85" s="16"/>
      <c r="C85" s="16">
        <v>32</v>
      </c>
      <c r="D85" s="17">
        <f>Reference!B291</f>
        <v>0</v>
      </c>
      <c r="E85" s="18">
        <f>Reference!C291</f>
        <v>0</v>
      </c>
      <c r="F85" s="18">
        <f>Reference!D291</f>
        <v>0</v>
      </c>
      <c r="G85" s="18">
        <f>Reference!E291</f>
        <v>0</v>
      </c>
      <c r="H85" s="18">
        <f>Reference!F291</f>
        <v>0</v>
      </c>
      <c r="I85" s="18">
        <f>Reference!G291</f>
        <v>0</v>
      </c>
      <c r="J85" s="19">
        <f t="shared" si="3"/>
        <v>0</v>
      </c>
      <c r="L85" s="17">
        <f>Test!B291</f>
        <v>0</v>
      </c>
      <c r="M85" s="18">
        <f>Test!C291</f>
        <v>0</v>
      </c>
      <c r="N85" s="18">
        <f>Test!D291</f>
        <v>0</v>
      </c>
      <c r="O85" s="18">
        <f>Test!E291</f>
        <v>0</v>
      </c>
      <c r="P85" s="18">
        <f>Test!F291</f>
        <v>0</v>
      </c>
      <c r="Q85" s="18">
        <f>Test!G291</f>
        <v>0</v>
      </c>
      <c r="R85" s="19">
        <f t="shared" si="6"/>
        <v>0</v>
      </c>
      <c r="S85" s="18" t="e">
        <f t="shared" si="5"/>
        <v>#DIV/0!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>
      <c r="A86" s="16"/>
      <c r="B86" s="21"/>
      <c r="C86" s="21">
        <v>37</v>
      </c>
      <c r="D86" s="22">
        <f>Reference!B292</f>
        <v>0</v>
      </c>
      <c r="E86" s="23">
        <f>Reference!C292</f>
        <v>0</v>
      </c>
      <c r="F86" s="23">
        <f>Reference!D292</f>
        <v>0</v>
      </c>
      <c r="G86" s="23">
        <f>Reference!E292</f>
        <v>0</v>
      </c>
      <c r="H86" s="23">
        <f>Reference!F292</f>
        <v>0</v>
      </c>
      <c r="I86" s="23">
        <f>Reference!G292</f>
        <v>0</v>
      </c>
      <c r="J86" s="24">
        <f t="shared" si="3"/>
        <v>0</v>
      </c>
      <c r="L86" s="22">
        <f>Test!B292</f>
        <v>0</v>
      </c>
      <c r="M86" s="23">
        <f>Test!C292</f>
        <v>0</v>
      </c>
      <c r="N86" s="23">
        <f>Test!D292</f>
        <v>0</v>
      </c>
      <c r="O86" s="23">
        <f>Test!E292</f>
        <v>0</v>
      </c>
      <c r="P86" s="23">
        <f>Test!F292</f>
        <v>0</v>
      </c>
      <c r="Q86" s="23">
        <f>Test!G292</f>
        <v>0</v>
      </c>
      <c r="R86" s="24">
        <f t="shared" si="6"/>
        <v>0</v>
      </c>
      <c r="S86" s="18" t="e">
        <f t="shared" si="5"/>
        <v>#DIV/0!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>
      <c r="A87" s="16"/>
      <c r="B87" s="11" t="s">
        <v>61</v>
      </c>
      <c r="C87" s="11">
        <v>22</v>
      </c>
      <c r="D87" s="12">
        <f>Reference!B293</f>
        <v>0</v>
      </c>
      <c r="E87" s="13">
        <f>Reference!C293</f>
        <v>0</v>
      </c>
      <c r="F87" s="13">
        <f>Reference!D293</f>
        <v>0</v>
      </c>
      <c r="G87" s="13">
        <f>Reference!E293</f>
        <v>0</v>
      </c>
      <c r="H87" s="13">
        <f>Reference!F293</f>
        <v>0</v>
      </c>
      <c r="I87" s="13">
        <f>Reference!G293</f>
        <v>0</v>
      </c>
      <c r="J87" s="14">
        <f t="shared" si="3"/>
        <v>0</v>
      </c>
      <c r="L87" s="12">
        <f>Test!B293</f>
        <v>0</v>
      </c>
      <c r="M87" s="13">
        <f>Test!C293</f>
        <v>0</v>
      </c>
      <c r="N87" s="13">
        <f>Test!D293</f>
        <v>0</v>
      </c>
      <c r="O87" s="13">
        <f>Test!E293</f>
        <v>0</v>
      </c>
      <c r="P87" s="13">
        <f>Test!F293</f>
        <v>0</v>
      </c>
      <c r="Q87" s="13">
        <f>Test!G293</f>
        <v>0</v>
      </c>
      <c r="R87" s="14">
        <f t="shared" si="6"/>
        <v>0</v>
      </c>
      <c r="S87" s="18" t="e">
        <f t="shared" ref="S87:T106" si="7">P87/H87</f>
        <v>#DIV/0!</v>
      </c>
      <c r="T87" s="18" t="e">
        <f t="shared" si="7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>
      <c r="A88" s="16"/>
      <c r="B88" s="16"/>
      <c r="C88" s="16">
        <v>27</v>
      </c>
      <c r="D88" s="17">
        <f>Reference!B294</f>
        <v>0</v>
      </c>
      <c r="E88" s="18">
        <f>Reference!C294</f>
        <v>0</v>
      </c>
      <c r="F88" s="18">
        <f>Reference!D294</f>
        <v>0</v>
      </c>
      <c r="G88" s="18">
        <f>Reference!E294</f>
        <v>0</v>
      </c>
      <c r="H88" s="18">
        <f>Reference!F294</f>
        <v>0</v>
      </c>
      <c r="I88" s="18">
        <f>Reference!G294</f>
        <v>0</v>
      </c>
      <c r="J88" s="19">
        <f t="shared" si="3"/>
        <v>0</v>
      </c>
      <c r="L88" s="17">
        <f>Test!B294</f>
        <v>0</v>
      </c>
      <c r="M88" s="18">
        <f>Test!C294</f>
        <v>0</v>
      </c>
      <c r="N88" s="18">
        <f>Test!D294</f>
        <v>0</v>
      </c>
      <c r="O88" s="18">
        <f>Test!E294</f>
        <v>0</v>
      </c>
      <c r="P88" s="18">
        <f>Test!F294</f>
        <v>0</v>
      </c>
      <c r="Q88" s="18">
        <f>Test!G294</f>
        <v>0</v>
      </c>
      <c r="R88" s="19">
        <f t="shared" si="6"/>
        <v>0</v>
      </c>
      <c r="S88" s="18" t="e">
        <f t="shared" si="7"/>
        <v>#DIV/0!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>
      <c r="A89" s="16"/>
      <c r="B89" s="16"/>
      <c r="C89" s="16">
        <v>32</v>
      </c>
      <c r="D89" s="17">
        <f>Reference!B295</f>
        <v>0</v>
      </c>
      <c r="E89" s="18">
        <f>Reference!C295</f>
        <v>0</v>
      </c>
      <c r="F89" s="18">
        <f>Reference!D295</f>
        <v>0</v>
      </c>
      <c r="G89" s="18">
        <f>Reference!E295</f>
        <v>0</v>
      </c>
      <c r="H89" s="18">
        <f>Reference!F295</f>
        <v>0</v>
      </c>
      <c r="I89" s="18">
        <f>Reference!G295</f>
        <v>0</v>
      </c>
      <c r="J89" s="19">
        <f t="shared" si="3"/>
        <v>0</v>
      </c>
      <c r="L89" s="17">
        <f>Test!B295</f>
        <v>0</v>
      </c>
      <c r="M89" s="18">
        <f>Test!C295</f>
        <v>0</v>
      </c>
      <c r="N89" s="18">
        <f>Test!D295</f>
        <v>0</v>
      </c>
      <c r="O89" s="18">
        <f>Test!E295</f>
        <v>0</v>
      </c>
      <c r="P89" s="18">
        <f>Test!F295</f>
        <v>0</v>
      </c>
      <c r="Q89" s="18">
        <f>Test!G295</f>
        <v>0</v>
      </c>
      <c r="R89" s="19">
        <f t="shared" si="6"/>
        <v>0</v>
      </c>
      <c r="S89" s="18" t="e">
        <f t="shared" si="7"/>
        <v>#DIV/0!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>
      <c r="A90" s="21"/>
      <c r="B90" s="21"/>
      <c r="C90" s="21">
        <v>37</v>
      </c>
      <c r="D90" s="22">
        <f>Reference!B296</f>
        <v>0</v>
      </c>
      <c r="E90" s="23">
        <f>Reference!C296</f>
        <v>0</v>
      </c>
      <c r="F90" s="23">
        <f>Reference!D296</f>
        <v>0</v>
      </c>
      <c r="G90" s="23">
        <f>Reference!E296</f>
        <v>0</v>
      </c>
      <c r="H90" s="23">
        <f>Reference!F296</f>
        <v>0</v>
      </c>
      <c r="I90" s="23">
        <f>Reference!G296</f>
        <v>0</v>
      </c>
      <c r="J90" s="24">
        <f t="shared" si="3"/>
        <v>0</v>
      </c>
      <c r="L90" s="22">
        <f>Test!B296</f>
        <v>0</v>
      </c>
      <c r="M90" s="23">
        <f>Test!C296</f>
        <v>0</v>
      </c>
      <c r="N90" s="23">
        <f>Test!D296</f>
        <v>0</v>
      </c>
      <c r="O90" s="23">
        <f>Test!E296</f>
        <v>0</v>
      </c>
      <c r="P90" s="23">
        <f>Test!F296</f>
        <v>0</v>
      </c>
      <c r="Q90" s="23">
        <f>Test!G296</f>
        <v>0</v>
      </c>
      <c r="R90" s="24">
        <f t="shared" si="6"/>
        <v>0</v>
      </c>
      <c r="S90" s="18" t="e">
        <f t="shared" si="7"/>
        <v>#DIV/0!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>
      <c r="A91" s="34" t="s">
        <v>52</v>
      </c>
      <c r="B91" s="34" t="s">
        <v>62</v>
      </c>
      <c r="C91" s="34">
        <v>22</v>
      </c>
      <c r="D91" s="12">
        <f>Reference!B297</f>
        <v>0</v>
      </c>
      <c r="E91" s="13">
        <f>Reference!C297</f>
        <v>0</v>
      </c>
      <c r="F91" s="13">
        <f>Reference!D297</f>
        <v>0</v>
      </c>
      <c r="G91" s="13">
        <f>Reference!E297</f>
        <v>0</v>
      </c>
      <c r="H91" s="13">
        <f>Reference!F297</f>
        <v>0</v>
      </c>
      <c r="I91" s="13">
        <f>Reference!G297</f>
        <v>0</v>
      </c>
      <c r="J91" s="14">
        <f t="shared" si="3"/>
        <v>0</v>
      </c>
      <c r="L91" s="12">
        <f>Test!B297</f>
        <v>0</v>
      </c>
      <c r="M91" s="13">
        <f>Test!C297</f>
        <v>0</v>
      </c>
      <c r="N91" s="13">
        <f>Test!D297</f>
        <v>0</v>
      </c>
      <c r="O91" s="13">
        <f>Test!E297</f>
        <v>0</v>
      </c>
      <c r="P91" s="13">
        <f>Test!F297</f>
        <v>0</v>
      </c>
      <c r="Q91" s="13">
        <f>Test!G297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>
      <c r="A92" s="35"/>
      <c r="B92" s="35"/>
      <c r="C92" s="35">
        <v>27</v>
      </c>
      <c r="D92" s="17">
        <f>Reference!B298</f>
        <v>0</v>
      </c>
      <c r="E92" s="18">
        <f>Reference!C298</f>
        <v>0</v>
      </c>
      <c r="F92" s="18">
        <f>Reference!D298</f>
        <v>0</v>
      </c>
      <c r="G92" s="18">
        <f>Reference!E298</f>
        <v>0</v>
      </c>
      <c r="H92" s="18">
        <f>Reference!F298</f>
        <v>0</v>
      </c>
      <c r="I92" s="18">
        <f>Reference!G298</f>
        <v>0</v>
      </c>
      <c r="J92" s="19">
        <f t="shared" ref="J92:J106" si="8">H92/3600</f>
        <v>0</v>
      </c>
      <c r="L92" s="17">
        <f>Test!B298</f>
        <v>0</v>
      </c>
      <c r="M92" s="18">
        <f>Test!C298</f>
        <v>0</v>
      </c>
      <c r="N92" s="18">
        <f>Test!D298</f>
        <v>0</v>
      </c>
      <c r="O92" s="18">
        <f>Test!E298</f>
        <v>0</v>
      </c>
      <c r="P92" s="18">
        <f>Test!F298</f>
        <v>0</v>
      </c>
      <c r="Q92" s="18">
        <f>Test!G298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>
      <c r="A93" s="35"/>
      <c r="B93" s="35"/>
      <c r="C93" s="35">
        <v>32</v>
      </c>
      <c r="D93" s="17">
        <f>Reference!B299</f>
        <v>0</v>
      </c>
      <c r="E93" s="18">
        <f>Reference!C299</f>
        <v>0</v>
      </c>
      <c r="F93" s="18">
        <f>Reference!D299</f>
        <v>0</v>
      </c>
      <c r="G93" s="18">
        <f>Reference!E299</f>
        <v>0</v>
      </c>
      <c r="H93" s="18">
        <f>Reference!F299</f>
        <v>0</v>
      </c>
      <c r="I93" s="18">
        <f>Reference!G299</f>
        <v>0</v>
      </c>
      <c r="J93" s="19">
        <f t="shared" si="8"/>
        <v>0</v>
      </c>
      <c r="L93" s="17">
        <f>Test!B299</f>
        <v>0</v>
      </c>
      <c r="M93" s="18">
        <f>Test!C299</f>
        <v>0</v>
      </c>
      <c r="N93" s="18">
        <f>Test!D299</f>
        <v>0</v>
      </c>
      <c r="O93" s="18">
        <f>Test!E299</f>
        <v>0</v>
      </c>
      <c r="P93" s="18">
        <f>Test!F299</f>
        <v>0</v>
      </c>
      <c r="Q93" s="18">
        <f>Test!G299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>
      <c r="A94" s="35"/>
      <c r="B94" s="36"/>
      <c r="C94" s="36">
        <v>37</v>
      </c>
      <c r="D94" s="22">
        <f>Reference!B300</f>
        <v>0</v>
      </c>
      <c r="E94" s="23">
        <f>Reference!C300</f>
        <v>0</v>
      </c>
      <c r="F94" s="23">
        <f>Reference!D300</f>
        <v>0</v>
      </c>
      <c r="G94" s="23">
        <f>Reference!E300</f>
        <v>0</v>
      </c>
      <c r="H94" s="23">
        <f>Reference!F300</f>
        <v>0</v>
      </c>
      <c r="I94" s="23">
        <f>Reference!G300</f>
        <v>0</v>
      </c>
      <c r="J94" s="24">
        <f t="shared" si="8"/>
        <v>0</v>
      </c>
      <c r="L94" s="22">
        <f>Test!B300</f>
        <v>0</v>
      </c>
      <c r="M94" s="23">
        <f>Test!C300</f>
        <v>0</v>
      </c>
      <c r="N94" s="23">
        <f>Test!D300</f>
        <v>0</v>
      </c>
      <c r="O94" s="23">
        <f>Test!E300</f>
        <v>0</v>
      </c>
      <c r="P94" s="23">
        <f>Test!F300</f>
        <v>0</v>
      </c>
      <c r="Q94" s="23">
        <f>Test!G300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>
      <c r="A95" s="35"/>
      <c r="B95" s="34" t="s">
        <v>523</v>
      </c>
      <c r="C95" s="34">
        <v>22</v>
      </c>
      <c r="D95" s="12">
        <f>Reference!B301</f>
        <v>0</v>
      </c>
      <c r="E95" s="13">
        <f>Reference!C301</f>
        <v>0</v>
      </c>
      <c r="F95" s="13">
        <f>Reference!D301</f>
        <v>0</v>
      </c>
      <c r="G95" s="13">
        <f>Reference!E301</f>
        <v>0</v>
      </c>
      <c r="H95" s="13">
        <f>Reference!F301</f>
        <v>0</v>
      </c>
      <c r="I95" s="13">
        <f>Reference!G301</f>
        <v>0</v>
      </c>
      <c r="J95" s="14">
        <f t="shared" si="8"/>
        <v>0</v>
      </c>
      <c r="L95" s="12">
        <f>Test!B301</f>
        <v>0</v>
      </c>
      <c r="M95" s="13">
        <f>Test!C301</f>
        <v>0</v>
      </c>
      <c r="N95" s="13">
        <f>Test!D301</f>
        <v>0</v>
      </c>
      <c r="O95" s="13">
        <f>Test!E301</f>
        <v>0</v>
      </c>
      <c r="P95" s="13">
        <f>Test!F301</f>
        <v>0</v>
      </c>
      <c r="Q95" s="13">
        <f>Test!G301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>
      <c r="A96" s="35"/>
      <c r="B96" s="35"/>
      <c r="C96" s="35">
        <v>27</v>
      </c>
      <c r="D96" s="17">
        <f>Reference!B302</f>
        <v>0</v>
      </c>
      <c r="E96" s="18">
        <f>Reference!C302</f>
        <v>0</v>
      </c>
      <c r="F96" s="18">
        <f>Reference!D302</f>
        <v>0</v>
      </c>
      <c r="G96" s="18">
        <f>Reference!E302</f>
        <v>0</v>
      </c>
      <c r="H96" s="18">
        <f>Reference!F302</f>
        <v>0</v>
      </c>
      <c r="I96" s="18">
        <f>Reference!G302</f>
        <v>0</v>
      </c>
      <c r="J96" s="19">
        <f t="shared" si="8"/>
        <v>0</v>
      </c>
      <c r="L96" s="17">
        <f>Test!B302</f>
        <v>0</v>
      </c>
      <c r="M96" s="18">
        <f>Test!C302</f>
        <v>0</v>
      </c>
      <c r="N96" s="18">
        <f>Test!D302</f>
        <v>0</v>
      </c>
      <c r="O96" s="18">
        <f>Test!E302</f>
        <v>0</v>
      </c>
      <c r="P96" s="18">
        <f>Test!F302</f>
        <v>0</v>
      </c>
      <c r="Q96" s="18">
        <f>Test!G302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>
      <c r="A97" s="35"/>
      <c r="B97" s="35"/>
      <c r="C97" s="35">
        <v>32</v>
      </c>
      <c r="D97" s="17">
        <f>Reference!B303</f>
        <v>0</v>
      </c>
      <c r="E97" s="18">
        <f>Reference!C303</f>
        <v>0</v>
      </c>
      <c r="F97" s="18">
        <f>Reference!D303</f>
        <v>0</v>
      </c>
      <c r="G97" s="18">
        <f>Reference!E303</f>
        <v>0</v>
      </c>
      <c r="H97" s="18">
        <f>Reference!F303</f>
        <v>0</v>
      </c>
      <c r="I97" s="18">
        <f>Reference!G303</f>
        <v>0</v>
      </c>
      <c r="J97" s="19">
        <f t="shared" si="8"/>
        <v>0</v>
      </c>
      <c r="L97" s="17">
        <f>Test!B303</f>
        <v>0</v>
      </c>
      <c r="M97" s="18">
        <f>Test!C303</f>
        <v>0</v>
      </c>
      <c r="N97" s="18">
        <f>Test!D303</f>
        <v>0</v>
      </c>
      <c r="O97" s="18">
        <f>Test!E303</f>
        <v>0</v>
      </c>
      <c r="P97" s="18">
        <f>Test!F303</f>
        <v>0</v>
      </c>
      <c r="Q97" s="18">
        <f>Test!G303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>
      <c r="A98" s="35"/>
      <c r="B98" s="36"/>
      <c r="C98" s="36">
        <v>37</v>
      </c>
      <c r="D98" s="22">
        <f>Reference!B304</f>
        <v>0</v>
      </c>
      <c r="E98" s="23">
        <f>Reference!C304</f>
        <v>0</v>
      </c>
      <c r="F98" s="23">
        <f>Reference!D304</f>
        <v>0</v>
      </c>
      <c r="G98" s="23">
        <f>Reference!E304</f>
        <v>0</v>
      </c>
      <c r="H98" s="23">
        <f>Reference!F304</f>
        <v>0</v>
      </c>
      <c r="I98" s="23">
        <f>Reference!G304</f>
        <v>0</v>
      </c>
      <c r="J98" s="24">
        <f t="shared" si="8"/>
        <v>0</v>
      </c>
      <c r="L98" s="22">
        <f>Test!B304</f>
        <v>0</v>
      </c>
      <c r="M98" s="23">
        <f>Test!C304</f>
        <v>0</v>
      </c>
      <c r="N98" s="23">
        <f>Test!D304</f>
        <v>0</v>
      </c>
      <c r="O98" s="23">
        <f>Test!E304</f>
        <v>0</v>
      </c>
      <c r="P98" s="23">
        <f>Test!F304</f>
        <v>0</v>
      </c>
      <c r="Q98" s="23">
        <f>Test!G304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>
      <c r="A99" s="35"/>
      <c r="B99" s="34" t="s">
        <v>64</v>
      </c>
      <c r="C99" s="34">
        <v>22</v>
      </c>
      <c r="D99" s="12">
        <f>Reference!B305</f>
        <v>0</v>
      </c>
      <c r="E99" s="13">
        <f>Reference!C305</f>
        <v>0</v>
      </c>
      <c r="F99" s="13">
        <f>Reference!D305</f>
        <v>0</v>
      </c>
      <c r="G99" s="13">
        <f>Reference!E305</f>
        <v>0</v>
      </c>
      <c r="H99" s="13">
        <f>Reference!F305</f>
        <v>0</v>
      </c>
      <c r="I99" s="13">
        <f>Reference!G305</f>
        <v>0</v>
      </c>
      <c r="J99" s="14">
        <f t="shared" si="8"/>
        <v>0</v>
      </c>
      <c r="L99" s="12">
        <f>Test!B305</f>
        <v>0</v>
      </c>
      <c r="M99" s="13">
        <f>Test!C305</f>
        <v>0</v>
      </c>
      <c r="N99" s="13">
        <f>Test!D305</f>
        <v>0</v>
      </c>
      <c r="O99" s="13">
        <f>Test!E305</f>
        <v>0</v>
      </c>
      <c r="P99" s="13">
        <f>Test!F305</f>
        <v>0</v>
      </c>
      <c r="Q99" s="13">
        <f>Test!G305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>
      <c r="A100" s="35"/>
      <c r="B100" s="35"/>
      <c r="C100" s="35">
        <v>27</v>
      </c>
      <c r="D100" s="17">
        <f>Reference!B306</f>
        <v>0</v>
      </c>
      <c r="E100" s="18">
        <f>Reference!C306</f>
        <v>0</v>
      </c>
      <c r="F100" s="18">
        <f>Reference!D306</f>
        <v>0</v>
      </c>
      <c r="G100" s="18">
        <f>Reference!E306</f>
        <v>0</v>
      </c>
      <c r="H100" s="18">
        <f>Reference!F306</f>
        <v>0</v>
      </c>
      <c r="I100" s="18">
        <f>Reference!G306</f>
        <v>0</v>
      </c>
      <c r="J100" s="19">
        <f t="shared" si="8"/>
        <v>0</v>
      </c>
      <c r="L100" s="17">
        <f>Test!B306</f>
        <v>0</v>
      </c>
      <c r="M100" s="18">
        <f>Test!C306</f>
        <v>0</v>
      </c>
      <c r="N100" s="18">
        <f>Test!D306</f>
        <v>0</v>
      </c>
      <c r="O100" s="18">
        <f>Test!E306</f>
        <v>0</v>
      </c>
      <c r="P100" s="18">
        <f>Test!F306</f>
        <v>0</v>
      </c>
      <c r="Q100" s="18">
        <f>Test!G306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>
      <c r="A101" s="35"/>
      <c r="B101" s="35"/>
      <c r="C101" s="35">
        <v>32</v>
      </c>
      <c r="D101" s="17">
        <f>Reference!B307</f>
        <v>0</v>
      </c>
      <c r="E101" s="18">
        <f>Reference!C307</f>
        <v>0</v>
      </c>
      <c r="F101" s="18">
        <f>Reference!D307</f>
        <v>0</v>
      </c>
      <c r="G101" s="18">
        <f>Reference!E307</f>
        <v>0</v>
      </c>
      <c r="H101" s="18">
        <f>Reference!F307</f>
        <v>0</v>
      </c>
      <c r="I101" s="18">
        <f>Reference!G307</f>
        <v>0</v>
      </c>
      <c r="J101" s="19">
        <f t="shared" si="8"/>
        <v>0</v>
      </c>
      <c r="L101" s="17">
        <f>Test!B307</f>
        <v>0</v>
      </c>
      <c r="M101" s="18">
        <f>Test!C307</f>
        <v>0</v>
      </c>
      <c r="N101" s="18">
        <f>Test!D307</f>
        <v>0</v>
      </c>
      <c r="O101" s="18">
        <f>Test!E307</f>
        <v>0</v>
      </c>
      <c r="P101" s="18">
        <f>Test!F307</f>
        <v>0</v>
      </c>
      <c r="Q101" s="18">
        <f>Test!G307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>
      <c r="A102" s="35"/>
      <c r="B102" s="36"/>
      <c r="C102" s="36">
        <v>37</v>
      </c>
      <c r="D102" s="22">
        <f>Reference!B308</f>
        <v>0</v>
      </c>
      <c r="E102" s="23">
        <f>Reference!C308</f>
        <v>0</v>
      </c>
      <c r="F102" s="23">
        <f>Reference!D308</f>
        <v>0</v>
      </c>
      <c r="G102" s="23">
        <f>Reference!E308</f>
        <v>0</v>
      </c>
      <c r="H102" s="23">
        <f>Reference!F308</f>
        <v>0</v>
      </c>
      <c r="I102" s="23">
        <f>Reference!G308</f>
        <v>0</v>
      </c>
      <c r="J102" s="24">
        <f t="shared" si="8"/>
        <v>0</v>
      </c>
      <c r="L102" s="22">
        <f>Test!B308</f>
        <v>0</v>
      </c>
      <c r="M102" s="23">
        <f>Test!C308</f>
        <v>0</v>
      </c>
      <c r="N102" s="23">
        <f>Test!D308</f>
        <v>0</v>
      </c>
      <c r="O102" s="23">
        <f>Test!E308</f>
        <v>0</v>
      </c>
      <c r="P102" s="23">
        <f>Test!F308</f>
        <v>0</v>
      </c>
      <c r="Q102" s="23">
        <f>Test!G308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>
      <c r="A103" s="35"/>
      <c r="B103" s="34" t="s">
        <v>65</v>
      </c>
      <c r="C103" s="34">
        <v>22</v>
      </c>
      <c r="D103" s="12">
        <f>Reference!B309</f>
        <v>0</v>
      </c>
      <c r="E103" s="13">
        <f>Reference!C309</f>
        <v>0</v>
      </c>
      <c r="F103" s="13">
        <f>Reference!D309</f>
        <v>0</v>
      </c>
      <c r="G103" s="13">
        <f>Reference!E309</f>
        <v>0</v>
      </c>
      <c r="H103" s="13">
        <f>Reference!F309</f>
        <v>0</v>
      </c>
      <c r="I103" s="13">
        <f>Reference!G309</f>
        <v>0</v>
      </c>
      <c r="J103" s="14">
        <f t="shared" si="8"/>
        <v>0</v>
      </c>
      <c r="L103" s="12">
        <f>Test!B309</f>
        <v>0</v>
      </c>
      <c r="M103" s="13">
        <f>Test!C309</f>
        <v>0</v>
      </c>
      <c r="N103" s="13">
        <f>Test!D309</f>
        <v>0</v>
      </c>
      <c r="O103" s="13">
        <f>Test!E309</f>
        <v>0</v>
      </c>
      <c r="P103" s="13">
        <f>Test!F309</f>
        <v>0</v>
      </c>
      <c r="Q103" s="13">
        <f>Test!G309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>
      <c r="A104" s="35"/>
      <c r="B104" s="35"/>
      <c r="C104" s="35">
        <v>27</v>
      </c>
      <c r="D104" s="17">
        <f>Reference!B310</f>
        <v>0</v>
      </c>
      <c r="E104" s="18">
        <f>Reference!C310</f>
        <v>0</v>
      </c>
      <c r="F104" s="18">
        <f>Reference!D310</f>
        <v>0</v>
      </c>
      <c r="G104" s="18">
        <f>Reference!E310</f>
        <v>0</v>
      </c>
      <c r="H104" s="18">
        <f>Reference!F310</f>
        <v>0</v>
      </c>
      <c r="I104" s="18">
        <f>Reference!G310</f>
        <v>0</v>
      </c>
      <c r="J104" s="19">
        <f t="shared" si="8"/>
        <v>0</v>
      </c>
      <c r="L104" s="17">
        <f>Test!B310</f>
        <v>0</v>
      </c>
      <c r="M104" s="18">
        <f>Test!C310</f>
        <v>0</v>
      </c>
      <c r="N104" s="18">
        <f>Test!D310</f>
        <v>0</v>
      </c>
      <c r="O104" s="18">
        <f>Test!E310</f>
        <v>0</v>
      </c>
      <c r="P104" s="18">
        <f>Test!F310</f>
        <v>0</v>
      </c>
      <c r="Q104" s="18">
        <f>Test!G310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>
      <c r="A105" s="35"/>
      <c r="B105" s="35"/>
      <c r="C105" s="35">
        <v>32</v>
      </c>
      <c r="D105" s="17">
        <f>Reference!B311</f>
        <v>0</v>
      </c>
      <c r="E105" s="18">
        <f>Reference!C311</f>
        <v>0</v>
      </c>
      <c r="F105" s="18">
        <f>Reference!D311</f>
        <v>0</v>
      </c>
      <c r="G105" s="18">
        <f>Reference!E311</f>
        <v>0</v>
      </c>
      <c r="H105" s="18">
        <f>Reference!F311</f>
        <v>0</v>
      </c>
      <c r="I105" s="18">
        <f>Reference!G311</f>
        <v>0</v>
      </c>
      <c r="J105" s="19">
        <f t="shared" si="8"/>
        <v>0</v>
      </c>
      <c r="L105" s="17">
        <f>Test!B311</f>
        <v>0</v>
      </c>
      <c r="M105" s="18">
        <f>Test!C311</f>
        <v>0</v>
      </c>
      <c r="N105" s="18">
        <f>Test!D311</f>
        <v>0</v>
      </c>
      <c r="O105" s="18">
        <f>Test!E311</f>
        <v>0</v>
      </c>
      <c r="P105" s="18">
        <f>Test!F311</f>
        <v>0</v>
      </c>
      <c r="Q105" s="18">
        <f>Test!G311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>
      <c r="A106" s="36"/>
      <c r="B106" s="36"/>
      <c r="C106" s="36">
        <v>37</v>
      </c>
      <c r="D106" s="22">
        <f>Reference!B312</f>
        <v>0</v>
      </c>
      <c r="E106" s="23">
        <f>Reference!C312</f>
        <v>0</v>
      </c>
      <c r="F106" s="23">
        <f>Reference!D312</f>
        <v>0</v>
      </c>
      <c r="G106" s="23">
        <f>Reference!E312</f>
        <v>0</v>
      </c>
      <c r="H106" s="23">
        <f>Reference!F312</f>
        <v>0</v>
      </c>
      <c r="I106" s="23">
        <f>Reference!G312</f>
        <v>0</v>
      </c>
      <c r="J106" s="24">
        <f t="shared" si="8"/>
        <v>0</v>
      </c>
      <c r="L106" s="22">
        <f>Test!B312</f>
        <v>0</v>
      </c>
      <c r="M106" s="23">
        <f>Test!C312</f>
        <v>0</v>
      </c>
      <c r="N106" s="23">
        <f>Test!D312</f>
        <v>0</v>
      </c>
      <c r="O106" s="23">
        <f>Test!E312</f>
        <v>0</v>
      </c>
      <c r="P106" s="23">
        <f>Test!F312</f>
        <v>0</v>
      </c>
      <c r="Q106" s="23">
        <f>Test!G312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>
      <c r="B107" s="1" t="s">
        <v>72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>
      <c r="B108" s="1" t="s">
        <v>73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>AVERAGE(V27:V46)</f>
        <v>#VALUE!</v>
      </c>
      <c r="W109" s="48" t="e">
        <f t="shared" ref="W109:AA109" si="10">AVERAGE(W27:W46)</f>
        <v>#VALUE!</v>
      </c>
      <c r="X109" s="48" t="e">
        <f t="shared" si="10"/>
        <v>#VALUE!</v>
      </c>
      <c r="Y109" s="44" t="e">
        <f t="shared" si="10"/>
        <v>#VALUE!</v>
      </c>
      <c r="Z109" s="48" t="e">
        <f t="shared" si="10"/>
        <v>#VALUE!</v>
      </c>
      <c r="AA109" s="49" t="e">
        <f t="shared" si="10"/>
        <v>#VALUE!</v>
      </c>
    </row>
    <row r="110" spans="1:27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>AVERAGE(V47:V62)</f>
        <v>#VALUE!</v>
      </c>
      <c r="W110" s="48" t="e">
        <f t="shared" ref="W110:AA110" si="12">AVERAGE(W47:W62)</f>
        <v>#VALUE!</v>
      </c>
      <c r="X110" s="48" t="e">
        <f t="shared" si="12"/>
        <v>#VALUE!</v>
      </c>
      <c r="Y110" s="44" t="e">
        <f t="shared" si="12"/>
        <v>#VALUE!</v>
      </c>
      <c r="Z110" s="48" t="e">
        <f t="shared" si="12"/>
        <v>#VALUE!</v>
      </c>
      <c r="AA110" s="49" t="e">
        <f t="shared" si="12"/>
        <v>#VALUE!</v>
      </c>
    </row>
    <row r="111" spans="1:27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>AVERAGE(V63:V78)</f>
        <v>#VALUE!</v>
      </c>
      <c r="W111" s="48" t="e">
        <f t="shared" ref="W111:AA111" si="14">AVERAGE(W63:W78)</f>
        <v>#VALUE!</v>
      </c>
      <c r="X111" s="48" t="e">
        <f t="shared" si="14"/>
        <v>#VALUE!</v>
      </c>
      <c r="Y111" s="44" t="e">
        <f t="shared" si="14"/>
        <v>#VALUE!</v>
      </c>
      <c r="Z111" s="48" t="e">
        <f t="shared" si="14"/>
        <v>#VALUE!</v>
      </c>
      <c r="AA111" s="49" t="e">
        <f t="shared" si="14"/>
        <v>#VALUE!</v>
      </c>
    </row>
    <row r="112" spans="1:27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#DIV/0!</v>
      </c>
      <c r="T112" s="15" t="e">
        <f t="shared" si="15"/>
        <v>#DIV/0!</v>
      </c>
      <c r="V112" s="44" t="e">
        <f>AVERAGE(V79:V88)</f>
        <v>#VALUE!</v>
      </c>
      <c r="W112" s="48" t="e">
        <f t="shared" ref="W112:AA112" si="16">AVERAGE(W79:W88)</f>
        <v>#VALUE!</v>
      </c>
      <c r="X112" s="48" t="e">
        <f t="shared" si="16"/>
        <v>#VALUE!</v>
      </c>
      <c r="Y112" s="44" t="e">
        <f t="shared" si="16"/>
        <v>#VALUE!</v>
      </c>
      <c r="Z112" s="48" t="e">
        <f t="shared" si="16"/>
        <v>#VALUE!</v>
      </c>
      <c r="AA112" s="49" t="e">
        <f t="shared" si="16"/>
        <v>#VALUE!</v>
      </c>
    </row>
    <row r="113" spans="1:27" ht="12.75" thickBot="1">
      <c r="B113" s="1" t="s">
        <v>44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>AVERAGE(V91:V106)</f>
        <v>#VALUE!</v>
      </c>
      <c r="W113" s="48" t="e">
        <f t="shared" ref="W113:AA113" si="18">AVERAGE(W91:W106)</f>
        <v>#VALUE!</v>
      </c>
      <c r="X113" s="48" t="e">
        <f t="shared" si="18"/>
        <v>#VALUE!</v>
      </c>
      <c r="Y113" s="44" t="e">
        <f t="shared" si="18"/>
        <v>#VALUE!</v>
      </c>
      <c r="Z113" s="48" t="e">
        <f t="shared" si="18"/>
        <v>#VALUE!</v>
      </c>
      <c r="AA113" s="49" t="e">
        <f t="shared" si="18"/>
        <v>#VALUE!</v>
      </c>
    </row>
    <row r="114" spans="1:27" ht="12.75" thickBot="1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>AVERAGE(V3:V62,V79:V90)</f>
        <v>#VALUE!</v>
      </c>
      <c r="W114" s="50" t="e">
        <f t="shared" ref="W114:AA114" si="20">AVERAGE(W3:W62,W79:W90)</f>
        <v>#VALUE!</v>
      </c>
      <c r="X114" s="50" t="e">
        <f t="shared" si="20"/>
        <v>#VALUE!</v>
      </c>
      <c r="Y114" s="45" t="e">
        <f t="shared" si="20"/>
        <v>#VALUE!</v>
      </c>
      <c r="Z114" s="50" t="e">
        <f t="shared" si="20"/>
        <v>#VALUE!</v>
      </c>
      <c r="AA114" s="51" t="e">
        <f t="shared" si="20"/>
        <v>#VALUE!</v>
      </c>
    </row>
    <row r="115" spans="1:27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>
      <c r="B117" s="1" t="s">
        <v>11</v>
      </c>
      <c r="I117" s="26"/>
      <c r="J117" s="26"/>
      <c r="Q117" s="26"/>
      <c r="R117" s="26"/>
      <c r="S117" s="26"/>
      <c r="T117" s="26"/>
    </row>
  </sheetData>
  <mergeCells count="4">
    <mergeCell ref="D1:J1"/>
    <mergeCell ref="L1:R1"/>
    <mergeCell ref="V1:X1"/>
    <mergeCell ref="Y1:AA1"/>
  </mergeCells>
  <conditionalFormatting sqref="AA7">
    <cfRule type="cellIs" dxfId="475" priority="533" operator="greaterThan">
      <formula>0.03</formula>
    </cfRule>
    <cfRule type="cellIs" dxfId="474" priority="534" stopIfTrue="1" operator="lessThan">
      <formula>-0.03</formula>
    </cfRule>
  </conditionalFormatting>
  <conditionalFormatting sqref="Z11">
    <cfRule type="cellIs" dxfId="473" priority="529" operator="greaterThan">
      <formula>0.03</formula>
    </cfRule>
    <cfRule type="cellIs" dxfId="472" priority="530" stopIfTrue="1" operator="lessThan">
      <formula>-0.03</formula>
    </cfRule>
  </conditionalFormatting>
  <conditionalFormatting sqref="Y6:Z6">
    <cfRule type="cellIs" dxfId="471" priority="519" operator="greaterThan">
      <formula>0.03</formula>
    </cfRule>
    <cfRule type="cellIs" dxfId="470" priority="520" stopIfTrue="1" operator="lessThan">
      <formula>-0.03</formula>
    </cfRule>
  </conditionalFormatting>
  <conditionalFormatting sqref="Y14:Z14">
    <cfRule type="cellIs" dxfId="469" priority="515" operator="greaterThan">
      <formula>0.03</formula>
    </cfRule>
    <cfRule type="cellIs" dxfId="468" priority="516" stopIfTrue="1" operator="lessThan">
      <formula>-0.03</formula>
    </cfRule>
  </conditionalFormatting>
  <conditionalFormatting sqref="V114:AA114">
    <cfRule type="cellIs" dxfId="467" priority="471" operator="greaterThan">
      <formula>0.03</formula>
    </cfRule>
    <cfRule type="cellIs" dxfId="466" priority="472" stopIfTrue="1" operator="lessThan">
      <formula>-0.03</formula>
    </cfRule>
  </conditionalFormatting>
  <conditionalFormatting sqref="Y23">
    <cfRule type="cellIs" dxfId="465" priority="433" operator="greaterThan">
      <formula>0.03</formula>
    </cfRule>
    <cfRule type="cellIs" dxfId="464" priority="434" stopIfTrue="1" operator="lessThan">
      <formula>-0.03</formula>
    </cfRule>
  </conditionalFormatting>
  <conditionalFormatting sqref="Z19">
    <cfRule type="cellIs" dxfId="463" priority="437" operator="greaterThan">
      <formula>0.03</formula>
    </cfRule>
    <cfRule type="cellIs" dxfId="462" priority="438" stopIfTrue="1" operator="lessThan">
      <formula>-0.03</formula>
    </cfRule>
  </conditionalFormatting>
  <conditionalFormatting sqref="AA19">
    <cfRule type="cellIs" dxfId="461" priority="435" operator="greaterThan">
      <formula>0.03</formula>
    </cfRule>
    <cfRule type="cellIs" dxfId="460" priority="436" stopIfTrue="1" operator="lessThan">
      <formula>-0.03</formula>
    </cfRule>
  </conditionalFormatting>
  <conditionalFormatting sqref="Z35">
    <cfRule type="cellIs" dxfId="459" priority="343" operator="greaterThan">
      <formula>0.03</formula>
    </cfRule>
    <cfRule type="cellIs" dxfId="458" priority="344" stopIfTrue="1" operator="lessThan">
      <formula>-0.03</formula>
    </cfRule>
  </conditionalFormatting>
  <conditionalFormatting sqref="Y31">
    <cfRule type="cellIs" dxfId="457" priority="351" operator="greaterThan">
      <formula>0.03</formula>
    </cfRule>
    <cfRule type="cellIs" dxfId="456" priority="352" stopIfTrue="1" operator="lessThan">
      <formula>-0.03</formula>
    </cfRule>
  </conditionalFormatting>
  <conditionalFormatting sqref="AA27">
    <cfRule type="cellIs" dxfId="455" priority="367" operator="greaterThan">
      <formula>0.03</formula>
    </cfRule>
    <cfRule type="cellIs" dxfId="454" priority="368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A35">
    <cfRule type="cellIs" dxfId="451" priority="341" operator="greaterThan">
      <formula>0.03</formula>
    </cfRule>
    <cfRule type="cellIs" dxfId="450" priority="342" stopIfTrue="1" operator="lessThan">
      <formula>-0.03</formula>
    </cfRule>
  </conditionalFormatting>
  <conditionalFormatting sqref="Y34:Z34">
    <cfRule type="cellIs" dxfId="449" priority="339" operator="greaterThan">
      <formula>0.03</formula>
    </cfRule>
    <cfRule type="cellIs" dxfId="448" priority="340" stopIfTrue="1" operator="lessThan">
      <formula>-0.03</formula>
    </cfRule>
  </conditionalFormatting>
  <conditionalFormatting sqref="Y38:Z38">
    <cfRule type="cellIs" dxfId="447" priority="337" operator="greaterThan">
      <formula>0.03</formula>
    </cfRule>
    <cfRule type="cellIs" dxfId="446" priority="338" stopIfTrue="1" operator="lessThan">
      <formula>-0.03</formula>
    </cfRule>
  </conditionalFormatting>
  <conditionalFormatting sqref="V31:X38">
    <cfRule type="cellIs" dxfId="445" priority="353" operator="greaterThan">
      <formula>0.03</formula>
    </cfRule>
    <cfRule type="cellIs" dxfId="444" priority="354" stopIfTrue="1" operator="lessThan">
      <formula>-0.03</formula>
    </cfRule>
  </conditionalFormatting>
  <conditionalFormatting sqref="Z31">
    <cfRule type="cellIs" dxfId="443" priority="349" operator="greaterThan">
      <formula>0.03</formula>
    </cfRule>
    <cfRule type="cellIs" dxfId="442" priority="350" stopIfTrue="1" operator="lessThan">
      <formula>-0.03</formula>
    </cfRule>
  </conditionalFormatting>
  <conditionalFormatting sqref="AA31">
    <cfRule type="cellIs" dxfId="441" priority="347" operator="greaterThan">
      <formula>0.03</formula>
    </cfRule>
    <cfRule type="cellIs" dxfId="440" priority="348" stopIfTrue="1" operator="lessThan">
      <formula>-0.03</formula>
    </cfRule>
  </conditionalFormatting>
  <conditionalFormatting sqref="Y35">
    <cfRule type="cellIs" dxfId="439" priority="345" operator="greaterThan">
      <formula>0.03</formula>
    </cfRule>
    <cfRule type="cellIs" dxfId="438" priority="346" stopIfTrue="1" operator="lessThan">
      <formula>-0.03</formula>
    </cfRule>
  </conditionalFormatting>
  <conditionalFormatting sqref="V39:X46">
    <cfRule type="cellIs" dxfId="437" priority="315" operator="greaterThan">
      <formula>0.03</formula>
    </cfRule>
    <cfRule type="cellIs" dxfId="436" priority="316" stopIfTrue="1" operator="lessThan">
      <formula>-0.03</formula>
    </cfRule>
  </conditionalFormatting>
  <conditionalFormatting sqref="Y39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39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39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43">
    <cfRule type="cellIs" dxfId="429" priority="307" operator="greaterThan">
      <formula>0.03</formula>
    </cfRule>
    <cfRule type="cellIs" dxfId="428" priority="308" stopIfTrue="1" operator="lessThan">
      <formula>-0.03</formula>
    </cfRule>
  </conditionalFormatting>
  <conditionalFormatting sqref="Z43">
    <cfRule type="cellIs" dxfId="427" priority="305" operator="greaterThan">
      <formula>0.03</formula>
    </cfRule>
    <cfRule type="cellIs" dxfId="426" priority="306" stopIfTrue="1" operator="lessThan">
      <formula>-0.03</formula>
    </cfRule>
  </conditionalFormatting>
  <conditionalFormatting sqref="AA43">
    <cfRule type="cellIs" dxfId="425" priority="303" operator="greaterThan">
      <formula>0.03</formula>
    </cfRule>
    <cfRule type="cellIs" dxfId="424" priority="304" stopIfTrue="1" operator="lessThan">
      <formula>-0.03</formula>
    </cfRule>
  </conditionalFormatting>
  <conditionalFormatting sqref="Y42:Z42">
    <cfRule type="cellIs" dxfId="423" priority="301" operator="greaterThan">
      <formula>0.03</formula>
    </cfRule>
    <cfRule type="cellIs" dxfId="422" priority="302" stopIfTrue="1" operator="lessThan">
      <formula>-0.03</formula>
    </cfRule>
  </conditionalFormatting>
  <conditionalFormatting sqref="Y46:Z46">
    <cfRule type="cellIs" dxfId="421" priority="299" operator="greaterThan">
      <formula>0.03</formula>
    </cfRule>
    <cfRule type="cellIs" dxfId="420" priority="300" stopIfTrue="1" operator="lessThan">
      <formula>-0.03</formula>
    </cfRule>
  </conditionalFormatting>
  <conditionalFormatting sqref="V47:X62">
    <cfRule type="cellIs" dxfId="419" priority="277" operator="greaterThan">
      <formula>0.03</formula>
    </cfRule>
    <cfRule type="cellIs" dxfId="418" priority="278" stopIfTrue="1" operator="lessThan">
      <formula>-0.03</formula>
    </cfRule>
  </conditionalFormatting>
  <conditionalFormatting sqref="Y47">
    <cfRule type="cellIs" dxfId="417" priority="275" operator="greaterThan">
      <formula>0.03</formula>
    </cfRule>
    <cfRule type="cellIs" dxfId="416" priority="276" stopIfTrue="1" operator="lessThan">
      <formula>-0.03</formula>
    </cfRule>
  </conditionalFormatting>
  <conditionalFormatting sqref="Z47">
    <cfRule type="cellIs" dxfId="415" priority="273" operator="greaterThan">
      <formula>0.03</formula>
    </cfRule>
    <cfRule type="cellIs" dxfId="414" priority="274" stopIfTrue="1" operator="lessThan">
      <formula>-0.03</formula>
    </cfRule>
  </conditionalFormatting>
  <conditionalFormatting sqref="AA47">
    <cfRule type="cellIs" dxfId="413" priority="271" operator="greaterThan">
      <formula>0.03</formula>
    </cfRule>
    <cfRule type="cellIs" dxfId="412" priority="272" stopIfTrue="1" operator="lessThan">
      <formula>-0.03</formula>
    </cfRule>
  </conditionalFormatting>
  <conditionalFormatting sqref="Y51">
    <cfRule type="cellIs" dxfId="411" priority="269" operator="greaterThan">
      <formula>0.03</formula>
    </cfRule>
    <cfRule type="cellIs" dxfId="410" priority="270" stopIfTrue="1" operator="lessThan">
      <formula>-0.03</formula>
    </cfRule>
  </conditionalFormatting>
  <conditionalFormatting sqref="Z51">
    <cfRule type="cellIs" dxfId="409" priority="267" operator="greaterThan">
      <formula>0.03</formula>
    </cfRule>
    <cfRule type="cellIs" dxfId="408" priority="268" stopIfTrue="1" operator="lessThan">
      <formula>-0.03</formula>
    </cfRule>
  </conditionalFormatting>
  <conditionalFormatting sqref="AA51">
    <cfRule type="cellIs" dxfId="407" priority="265" operator="greaterThan">
      <formula>0.03</formula>
    </cfRule>
    <cfRule type="cellIs" dxfId="406" priority="266" stopIfTrue="1" operator="lessThan">
      <formula>-0.03</formula>
    </cfRule>
  </conditionalFormatting>
  <conditionalFormatting sqref="Y55">
    <cfRule type="cellIs" dxfId="405" priority="263" operator="greaterThan">
      <formula>0.03</formula>
    </cfRule>
    <cfRule type="cellIs" dxfId="404" priority="264" stopIfTrue="1" operator="lessThan">
      <formula>-0.03</formula>
    </cfRule>
  </conditionalFormatting>
  <conditionalFormatting sqref="Z55">
    <cfRule type="cellIs" dxfId="403" priority="261" operator="greaterThan">
      <formula>0.03</formula>
    </cfRule>
    <cfRule type="cellIs" dxfId="402" priority="262" stopIfTrue="1" operator="lessThan">
      <formula>-0.03</formula>
    </cfRule>
  </conditionalFormatting>
  <conditionalFormatting sqref="AA55">
    <cfRule type="cellIs" dxfId="401" priority="259" operator="greaterThan">
      <formula>0.03</formula>
    </cfRule>
    <cfRule type="cellIs" dxfId="400" priority="260" stopIfTrue="1" operator="lessThan">
      <formula>-0.03</formula>
    </cfRule>
  </conditionalFormatting>
  <conditionalFormatting sqref="Y59">
    <cfRule type="cellIs" dxfId="399" priority="257" operator="greaterThan">
      <formula>0.03</formula>
    </cfRule>
    <cfRule type="cellIs" dxfId="398" priority="258" stopIfTrue="1" operator="lessThan">
      <formula>-0.03</formula>
    </cfRule>
  </conditionalFormatting>
  <conditionalFormatting sqref="Z59">
    <cfRule type="cellIs" dxfId="397" priority="255" operator="greaterThan">
      <formula>0.03</formula>
    </cfRule>
    <cfRule type="cellIs" dxfId="396" priority="256" stopIfTrue="1" operator="lessThan">
      <formula>-0.03</formula>
    </cfRule>
  </conditionalFormatting>
  <conditionalFormatting sqref="AA59">
    <cfRule type="cellIs" dxfId="395" priority="253" operator="greaterThan">
      <formula>0.03</formula>
    </cfRule>
    <cfRule type="cellIs" dxfId="394" priority="254" stopIfTrue="1" operator="lessThan">
      <formula>-0.03</formula>
    </cfRule>
  </conditionalFormatting>
  <conditionalFormatting sqref="Y50:Z50">
    <cfRule type="cellIs" dxfId="393" priority="251" operator="greaterThan">
      <formula>0.03</formula>
    </cfRule>
    <cfRule type="cellIs" dxfId="392" priority="252" stopIfTrue="1" operator="lessThan">
      <formula>-0.03</formula>
    </cfRule>
  </conditionalFormatting>
  <conditionalFormatting sqref="Y54:Z54">
    <cfRule type="cellIs" dxfId="391" priority="249" operator="greaterThan">
      <formula>0.03</formula>
    </cfRule>
    <cfRule type="cellIs" dxfId="390" priority="250" stopIfTrue="1" operator="lessThan">
      <formula>-0.03</formula>
    </cfRule>
  </conditionalFormatting>
  <conditionalFormatting sqref="Y58:Z58">
    <cfRule type="cellIs" dxfId="389" priority="247" operator="greaterThan">
      <formula>0.03</formula>
    </cfRule>
    <cfRule type="cellIs" dxfId="388" priority="248" stopIfTrue="1" operator="lessThan">
      <formula>-0.03</formula>
    </cfRule>
  </conditionalFormatting>
  <conditionalFormatting sqref="Y62:Z62">
    <cfRule type="cellIs" dxfId="387" priority="245" operator="greaterThan">
      <formula>0.03</formula>
    </cfRule>
    <cfRule type="cellIs" dxfId="386" priority="246" stopIfTrue="1" operator="lessThan">
      <formula>-0.03</formula>
    </cfRule>
  </conditionalFormatting>
  <conditionalFormatting sqref="V63:X78">
    <cfRule type="cellIs" dxfId="385" priority="203" operator="greaterThan">
      <formula>0.03</formula>
    </cfRule>
    <cfRule type="cellIs" dxfId="384" priority="204" stopIfTrue="1" operator="lessThan">
      <formula>-0.03</formula>
    </cfRule>
  </conditionalFormatting>
  <conditionalFormatting sqref="Y63">
    <cfRule type="cellIs" dxfId="383" priority="201" operator="greaterThan">
      <formula>0.03</formula>
    </cfRule>
    <cfRule type="cellIs" dxfId="382" priority="202" stopIfTrue="1" operator="lessThan">
      <formula>-0.03</formula>
    </cfRule>
  </conditionalFormatting>
  <conditionalFormatting sqref="Z63">
    <cfRule type="cellIs" dxfId="381" priority="199" operator="greaterThan">
      <formula>0.03</formula>
    </cfRule>
    <cfRule type="cellIs" dxfId="380" priority="200" stopIfTrue="1" operator="lessThan">
      <formula>-0.03</formula>
    </cfRule>
  </conditionalFormatting>
  <conditionalFormatting sqref="AA63">
    <cfRule type="cellIs" dxfId="379" priority="197" operator="greaterThan">
      <formula>0.03</formula>
    </cfRule>
    <cfRule type="cellIs" dxfId="378" priority="198" stopIfTrue="1" operator="lessThan">
      <formula>-0.03</formula>
    </cfRule>
  </conditionalFormatting>
  <conditionalFormatting sqref="Z67">
    <cfRule type="cellIs" dxfId="377" priority="193" operator="greaterThan">
      <formula>0.03</formula>
    </cfRule>
    <cfRule type="cellIs" dxfId="376" priority="194" stopIfTrue="1" operator="lessThan">
      <formula>-0.03</formula>
    </cfRule>
  </conditionalFormatting>
  <conditionalFormatting sqref="AA67">
    <cfRule type="cellIs" dxfId="375" priority="191" operator="greaterThan">
      <formula>0.03</formula>
    </cfRule>
    <cfRule type="cellIs" dxfId="374" priority="192" stopIfTrue="1" operator="lessThan">
      <formula>-0.03</formula>
    </cfRule>
  </conditionalFormatting>
  <conditionalFormatting sqref="Y71">
    <cfRule type="cellIs" dxfId="373" priority="189" operator="greaterThan">
      <formula>0.03</formula>
    </cfRule>
    <cfRule type="cellIs" dxfId="372" priority="190" stopIfTrue="1" operator="lessThan">
      <formula>-0.03</formula>
    </cfRule>
  </conditionalFormatting>
  <conditionalFormatting sqref="Z71">
    <cfRule type="cellIs" dxfId="371" priority="187" operator="greaterThan">
      <formula>0.03</formula>
    </cfRule>
    <cfRule type="cellIs" dxfId="370" priority="188" stopIfTrue="1" operator="lessThan">
      <formula>-0.03</formula>
    </cfRule>
  </conditionalFormatting>
  <conditionalFormatting sqref="Y67">
    <cfRule type="cellIs" dxfId="369" priority="195" operator="greaterThan">
      <formula>0.03</formula>
    </cfRule>
    <cfRule type="cellIs" dxfId="368" priority="196" stopIfTrue="1" operator="lessThan">
      <formula>-0.03</formula>
    </cfRule>
  </conditionalFormatting>
  <conditionalFormatting sqref="Y75">
    <cfRule type="cellIs" dxfId="367" priority="183" operator="greaterThan">
      <formula>0.03</formula>
    </cfRule>
    <cfRule type="cellIs" dxfId="366" priority="184" stopIfTrue="1" operator="lessThan">
      <formula>-0.03</formula>
    </cfRule>
  </conditionalFormatting>
  <conditionalFormatting sqref="Z75">
    <cfRule type="cellIs" dxfId="365" priority="181" operator="greaterThan">
      <formula>0.03</formula>
    </cfRule>
    <cfRule type="cellIs" dxfId="364" priority="182" stopIfTrue="1" operator="lessThan">
      <formula>-0.03</formula>
    </cfRule>
  </conditionalFormatting>
  <conditionalFormatting sqref="AA75">
    <cfRule type="cellIs" dxfId="363" priority="179" operator="greaterThan">
      <formula>0.03</formula>
    </cfRule>
    <cfRule type="cellIs" dxfId="362" priority="180" stopIfTrue="1" operator="lessThan">
      <formula>-0.03</formula>
    </cfRule>
  </conditionalFormatting>
  <conditionalFormatting sqref="Y66:Z66">
    <cfRule type="cellIs" dxfId="361" priority="177" operator="greaterThan">
      <formula>0.03</formula>
    </cfRule>
    <cfRule type="cellIs" dxfId="360" priority="178" stopIfTrue="1" operator="lessThan">
      <formula>-0.03</formula>
    </cfRule>
  </conditionalFormatting>
  <conditionalFormatting sqref="AA71">
    <cfRule type="cellIs" dxfId="359" priority="185" operator="greaterThan">
      <formula>0.03</formula>
    </cfRule>
    <cfRule type="cellIs" dxfId="358" priority="186" stopIfTrue="1" operator="lessThan">
      <formula>-0.03</formula>
    </cfRule>
  </conditionalFormatting>
  <conditionalFormatting sqref="Y70:Z70">
    <cfRule type="cellIs" dxfId="357" priority="175" operator="greaterThan">
      <formula>0.03</formula>
    </cfRule>
    <cfRule type="cellIs" dxfId="356" priority="176" stopIfTrue="1" operator="lessThan">
      <formula>-0.03</formula>
    </cfRule>
  </conditionalFormatting>
  <conditionalFormatting sqref="Y74:Z74">
    <cfRule type="cellIs" dxfId="355" priority="173" operator="greaterThan">
      <formula>0.03</formula>
    </cfRule>
    <cfRule type="cellIs" dxfId="354" priority="174" stopIfTrue="1" operator="lessThan">
      <formula>-0.03</formula>
    </cfRule>
  </conditionalFormatting>
  <conditionalFormatting sqref="Y78:Z78">
    <cfRule type="cellIs" dxfId="353" priority="171" operator="greaterThan">
      <formula>0.03</formula>
    </cfRule>
    <cfRule type="cellIs" dxfId="352" priority="172" stopIfTrue="1" operator="lessThan">
      <formula>-0.03</formula>
    </cfRule>
  </conditionalFormatting>
  <conditionalFormatting sqref="V3:X14">
    <cfRule type="cellIs" dxfId="351" priority="545" operator="greaterThan">
      <formula>0.03</formula>
    </cfRule>
    <cfRule type="cellIs" dxfId="350" priority="546" stopIfTrue="1" operator="lessThan">
      <formula>-0.03</formula>
    </cfRule>
  </conditionalFormatting>
  <conditionalFormatting sqref="Y3">
    <cfRule type="cellIs" dxfId="349" priority="543" operator="greaterThan">
      <formula>0.03</formula>
    </cfRule>
    <cfRule type="cellIs" dxfId="348" priority="544" stopIfTrue="1" operator="lessThan">
      <formula>-0.03</formula>
    </cfRule>
  </conditionalFormatting>
  <conditionalFormatting sqref="Z3">
    <cfRule type="cellIs" dxfId="347" priority="541" operator="greaterThan">
      <formula>0.03</formula>
    </cfRule>
    <cfRule type="cellIs" dxfId="346" priority="542" stopIfTrue="1" operator="lessThan">
      <formula>-0.03</formula>
    </cfRule>
  </conditionalFormatting>
  <conditionalFormatting sqref="AA3">
    <cfRule type="cellIs" dxfId="345" priority="539" operator="greaterThan">
      <formula>0.03</formula>
    </cfRule>
    <cfRule type="cellIs" dxfId="344" priority="540" stopIfTrue="1" operator="lessThan">
      <formula>-0.03</formula>
    </cfRule>
  </conditionalFormatting>
  <conditionalFormatting sqref="Y7">
    <cfRule type="cellIs" dxfId="343" priority="537" operator="greaterThan">
      <formula>0.03</formula>
    </cfRule>
    <cfRule type="cellIs" dxfId="342" priority="538" stopIfTrue="1" operator="lessThan">
      <formula>-0.03</formula>
    </cfRule>
  </conditionalFormatting>
  <conditionalFormatting sqref="Z7">
    <cfRule type="cellIs" dxfId="341" priority="535" operator="greaterThan">
      <formula>0.03</formula>
    </cfRule>
    <cfRule type="cellIs" dxfId="340" priority="536" stopIfTrue="1" operator="lessThan">
      <formula>-0.03</formula>
    </cfRule>
  </conditionalFormatting>
  <conditionalFormatting sqref="Y11">
    <cfRule type="cellIs" dxfId="339" priority="531" operator="greaterThan">
      <formula>0.03</formula>
    </cfRule>
    <cfRule type="cellIs" dxfId="338" priority="532" stopIfTrue="1" operator="lessThan">
      <formula>-0.03</formula>
    </cfRule>
  </conditionalFormatting>
  <conditionalFormatting sqref="AA11">
    <cfRule type="cellIs" dxfId="337" priority="527" operator="greaterThan">
      <formula>0.03</formula>
    </cfRule>
    <cfRule type="cellIs" dxfId="336" priority="528" stopIfTrue="1" operator="lessThan">
      <formula>-0.03</formula>
    </cfRule>
  </conditionalFormatting>
  <conditionalFormatting sqref="Y10:Z10">
    <cfRule type="cellIs" dxfId="335" priority="517" operator="greaterThan">
      <formula>0.03</formula>
    </cfRule>
    <cfRule type="cellIs" dxfId="334" priority="518" stopIfTrue="1" operator="lessThan">
      <formula>-0.03</formula>
    </cfRule>
  </conditionalFormatting>
  <conditionalFormatting sqref="V111:AA112">
    <cfRule type="cellIs" dxfId="333" priority="469" operator="greaterThan">
      <formula>0.03</formula>
    </cfRule>
    <cfRule type="cellIs" dxfId="332" priority="470" stopIfTrue="1" operator="lessThan">
      <formula>-0.03</formula>
    </cfRule>
  </conditionalFormatting>
  <conditionalFormatting sqref="V107:AA107 V109:AA109">
    <cfRule type="cellIs" dxfId="331" priority="467" operator="greaterThan">
      <formula>0.03</formula>
    </cfRule>
    <cfRule type="cellIs" dxfId="330" priority="468" stopIfTrue="1" operator="lessThan">
      <formula>-0.03</formula>
    </cfRule>
  </conditionalFormatting>
  <conditionalFormatting sqref="Y19">
    <cfRule type="cellIs" dxfId="329" priority="439" operator="greaterThan">
      <formula>0.03</formula>
    </cfRule>
    <cfRule type="cellIs" dxfId="328" priority="440" stopIfTrue="1" operator="lessThan">
      <formula>-0.03</formula>
    </cfRule>
  </conditionalFormatting>
  <conditionalFormatting sqref="V108:AA108">
    <cfRule type="cellIs" dxfId="327" priority="461" operator="greaterThan">
      <formula>0.03</formula>
    </cfRule>
    <cfRule type="cellIs" dxfId="326" priority="462" stopIfTrue="1" operator="lessThan">
      <formula>-0.03</formula>
    </cfRule>
  </conditionalFormatting>
  <conditionalFormatting sqref="V15:X26">
    <cfRule type="cellIs" dxfId="325" priority="447" operator="greaterThan">
      <formula>0.03</formula>
    </cfRule>
    <cfRule type="cellIs" dxfId="324" priority="448" stopIfTrue="1" operator="lessThan">
      <formula>-0.03</formula>
    </cfRule>
  </conditionalFormatting>
  <conditionalFormatting sqref="Y15">
    <cfRule type="cellIs" dxfId="323" priority="445" operator="greaterThan">
      <formula>0.03</formula>
    </cfRule>
    <cfRule type="cellIs" dxfId="322" priority="446" stopIfTrue="1" operator="lessThan">
      <formula>-0.03</formula>
    </cfRule>
  </conditionalFormatting>
  <conditionalFormatting sqref="V110:AA110">
    <cfRule type="cellIs" dxfId="321" priority="465" operator="greaterThan">
      <formula>0.03</formula>
    </cfRule>
    <cfRule type="cellIs" dxfId="320" priority="466" stopIfTrue="1" operator="lessThan">
      <formula>-0.03</formula>
    </cfRule>
  </conditionalFormatting>
  <conditionalFormatting sqref="V113:AA113">
    <cfRule type="cellIs" dxfId="319" priority="463" operator="greaterThan">
      <formula>0.03</formula>
    </cfRule>
    <cfRule type="cellIs" dxfId="318" priority="464" stopIfTrue="1" operator="lessThan">
      <formula>-0.03</formula>
    </cfRule>
  </conditionalFormatting>
  <conditionalFormatting sqref="Z15">
    <cfRule type="cellIs" dxfId="317" priority="443" operator="greaterThan">
      <formula>0.03</formula>
    </cfRule>
    <cfRule type="cellIs" dxfId="316" priority="444" stopIfTrue="1" operator="lessThan">
      <formula>-0.03</formula>
    </cfRule>
  </conditionalFormatting>
  <conditionalFormatting sqref="AA15">
    <cfRule type="cellIs" dxfId="315" priority="441" operator="greaterThan">
      <formula>0.03</formula>
    </cfRule>
    <cfRule type="cellIs" dxfId="314" priority="442" stopIfTrue="1" operator="lessThan">
      <formula>-0.03</formula>
    </cfRule>
  </conditionalFormatting>
  <conditionalFormatting sqref="Z23">
    <cfRule type="cellIs" dxfId="313" priority="431" operator="greaterThan">
      <formula>0.03</formula>
    </cfRule>
    <cfRule type="cellIs" dxfId="312" priority="432" stopIfTrue="1" operator="lessThan">
      <formula>-0.03</formula>
    </cfRule>
  </conditionalFormatting>
  <conditionalFormatting sqref="AA23">
    <cfRule type="cellIs" dxfId="311" priority="429" operator="greaterThan">
      <formula>0.03</formula>
    </cfRule>
    <cfRule type="cellIs" dxfId="310" priority="430" stopIfTrue="1" operator="lessThan">
      <formula>-0.03</formula>
    </cfRule>
  </conditionalFormatting>
  <conditionalFormatting sqref="Y18:Z18">
    <cfRule type="cellIs" dxfId="309" priority="421" operator="greaterThan">
      <formula>0.03</formula>
    </cfRule>
    <cfRule type="cellIs" dxfId="308" priority="422" stopIfTrue="1" operator="lessThan">
      <formula>-0.03</formula>
    </cfRule>
  </conditionalFormatting>
  <conditionalFormatting sqref="Y22:Z22">
    <cfRule type="cellIs" dxfId="307" priority="419" operator="greaterThan">
      <formula>0.03</formula>
    </cfRule>
    <cfRule type="cellIs" dxfId="306" priority="420" stopIfTrue="1" operator="lessThan">
      <formula>-0.03</formula>
    </cfRule>
  </conditionalFormatting>
  <conditionalFormatting sqref="Y26:Z26">
    <cfRule type="cellIs" dxfId="305" priority="417" operator="greaterThan">
      <formula>0.03</formula>
    </cfRule>
    <cfRule type="cellIs" dxfId="304" priority="418" stopIfTrue="1" operator="lessThan">
      <formula>-0.03</formula>
    </cfRule>
  </conditionalFormatting>
  <conditionalFormatting sqref="V27:X30">
    <cfRule type="cellIs" dxfId="303" priority="373" operator="greaterThan">
      <formula>0.03</formula>
    </cfRule>
    <cfRule type="cellIs" dxfId="302" priority="374" stopIfTrue="1" operator="lessThan">
      <formula>-0.03</formula>
    </cfRule>
  </conditionalFormatting>
  <conditionalFormatting sqref="Y27">
    <cfRule type="cellIs" dxfId="301" priority="371" operator="greaterThan">
      <formula>0.03</formula>
    </cfRule>
    <cfRule type="cellIs" dxfId="300" priority="372" stopIfTrue="1" operator="lessThan">
      <formula>-0.03</formula>
    </cfRule>
  </conditionalFormatting>
  <conditionalFormatting sqref="Z27">
    <cfRule type="cellIs" dxfId="299" priority="369" operator="greaterThan">
      <formula>0.03</formula>
    </cfRule>
    <cfRule type="cellIs" dxfId="298" priority="370" stopIfTrue="1" operator="lessThan">
      <formula>-0.03</formula>
    </cfRule>
  </conditionalFormatting>
  <conditionalFormatting sqref="Y102:Z102">
    <cfRule type="cellIs" dxfId="297" priority="99" operator="greaterThan">
      <formula>0.03</formula>
    </cfRule>
    <cfRule type="cellIs" dxfId="296" priority="100" stopIfTrue="1" operator="lessThan">
      <formula>-0.03</formula>
    </cfRule>
  </conditionalFormatting>
  <conditionalFormatting sqref="Y98:Z98">
    <cfRule type="cellIs" dxfId="295" priority="101" operator="greaterThan">
      <formula>0.03</formula>
    </cfRule>
    <cfRule type="cellIs" dxfId="294" priority="102" stopIfTrue="1" operator="lessThan">
      <formula>-0.03</formula>
    </cfRule>
  </conditionalFormatting>
  <conditionalFormatting sqref="Y106:Z106">
    <cfRule type="cellIs" dxfId="293" priority="97" operator="greaterThan">
      <formula>0.03</formula>
    </cfRule>
    <cfRule type="cellIs" dxfId="292" priority="98" stopIfTrue="1" operator="lessThan">
      <formula>-0.03</formula>
    </cfRule>
  </conditionalFormatting>
  <conditionalFormatting sqref="Z83">
    <cfRule type="cellIs" dxfId="291" priority="45" operator="greaterThan">
      <formula>0.03</formula>
    </cfRule>
    <cfRule type="cellIs" dxfId="290" priority="46" stopIfTrue="1" operator="lessThan">
      <formula>-0.03</formula>
    </cfRule>
  </conditionalFormatting>
  <conditionalFormatting sqref="Z87">
    <cfRule type="cellIs" dxfId="289" priority="39" operator="greaterThan">
      <formula>0.03</formula>
    </cfRule>
    <cfRule type="cellIs" dxfId="288" priority="40" stopIfTrue="1" operator="lessThan">
      <formula>-0.03</formula>
    </cfRule>
  </conditionalFormatting>
  <conditionalFormatting sqref="Y83">
    <cfRule type="cellIs" dxfId="287" priority="47" operator="greaterThan">
      <formula>0.03</formula>
    </cfRule>
    <cfRule type="cellIs" dxfId="286" priority="48" stopIfTrue="1" operator="lessThan">
      <formula>-0.03</formula>
    </cfRule>
  </conditionalFormatting>
  <conditionalFormatting sqref="V79:X90">
    <cfRule type="cellIs" dxfId="285" priority="55" operator="greaterThan">
      <formula>0.03</formula>
    </cfRule>
    <cfRule type="cellIs" dxfId="284" priority="56" stopIfTrue="1" operator="lessThan">
      <formula>-0.03</formula>
    </cfRule>
  </conditionalFormatting>
  <conditionalFormatting sqref="AA79">
    <cfRule type="cellIs" dxfId="283" priority="49" operator="greaterThan">
      <formula>0.03</formula>
    </cfRule>
    <cfRule type="cellIs" dxfId="282" priority="50" stopIfTrue="1" operator="lessThan">
      <formula>-0.03</formula>
    </cfRule>
  </conditionalFormatting>
  <conditionalFormatting sqref="Y87">
    <cfRule type="cellIs" dxfId="281" priority="41" operator="greaterThan">
      <formula>0.03</formula>
    </cfRule>
    <cfRule type="cellIs" dxfId="280" priority="42" stopIfTrue="1" operator="lessThan">
      <formula>-0.03</formula>
    </cfRule>
  </conditionalFormatting>
  <conditionalFormatting sqref="AA87">
    <cfRule type="cellIs" dxfId="279" priority="37" operator="greaterThan">
      <formula>0.03</formula>
    </cfRule>
    <cfRule type="cellIs" dxfId="278" priority="38" stopIfTrue="1" operator="lessThan">
      <formula>-0.03</formula>
    </cfRule>
  </conditionalFormatting>
  <conditionalFormatting sqref="Y82:Z82">
    <cfRule type="cellIs" dxfId="277" priority="35" operator="greaterThan">
      <formula>0.03</formula>
    </cfRule>
    <cfRule type="cellIs" dxfId="276" priority="36" stopIfTrue="1" operator="lessThan">
      <formula>-0.03</formula>
    </cfRule>
  </conditionalFormatting>
  <conditionalFormatting sqref="Y86:Z86">
    <cfRule type="cellIs" dxfId="275" priority="33" operator="greaterThan">
      <formula>0.03</formula>
    </cfRule>
    <cfRule type="cellIs" dxfId="274" priority="34" stopIfTrue="1" operator="lessThan">
      <formula>-0.03</formula>
    </cfRule>
  </conditionalFormatting>
  <conditionalFormatting sqref="Y79">
    <cfRule type="cellIs" dxfId="273" priority="53" operator="greaterThan">
      <formula>0.03</formula>
    </cfRule>
    <cfRule type="cellIs" dxfId="272" priority="54" stopIfTrue="1" operator="lessThan">
      <formula>-0.03</formula>
    </cfRule>
  </conditionalFormatting>
  <conditionalFormatting sqref="Z79">
    <cfRule type="cellIs" dxfId="271" priority="51" operator="greaterThan">
      <formula>0.03</formula>
    </cfRule>
    <cfRule type="cellIs" dxfId="270" priority="52" stopIfTrue="1" operator="lessThan">
      <formula>-0.03</formula>
    </cfRule>
  </conditionalFormatting>
  <conditionalFormatting sqref="AA83">
    <cfRule type="cellIs" dxfId="269" priority="43" operator="greaterThan">
      <formula>0.03</formula>
    </cfRule>
    <cfRule type="cellIs" dxfId="268" priority="44" stopIfTrue="1" operator="lessThan">
      <formula>-0.03</formula>
    </cfRule>
  </conditionalFormatting>
  <conditionalFormatting sqref="Y90:Z90">
    <cfRule type="cellIs" dxfId="267" priority="31" operator="greaterThan">
      <formula>0.03</formula>
    </cfRule>
    <cfRule type="cellIs" dxfId="266" priority="32" stopIfTrue="1" operator="lessThan">
      <formula>-0.03</formula>
    </cfRule>
  </conditionalFormatting>
  <conditionalFormatting sqref="Y94:Z94">
    <cfRule type="cellIs" dxfId="265" priority="103" operator="greaterThan">
      <formula>0.03</formula>
    </cfRule>
    <cfRule type="cellIs" dxfId="264" priority="104" stopIfTrue="1" operator="lessThan">
      <formula>-0.03</formula>
    </cfRule>
  </conditionalFormatting>
  <conditionalFormatting sqref="Z103">
    <cfRule type="cellIs" dxfId="263" priority="107" operator="greaterThan">
      <formula>0.03</formula>
    </cfRule>
    <cfRule type="cellIs" dxfId="262" priority="108" stopIfTrue="1" operator="lessThan">
      <formula>-0.03</formula>
    </cfRule>
  </conditionalFormatting>
  <conditionalFormatting sqref="Y103">
    <cfRule type="cellIs" dxfId="261" priority="109" operator="greaterThan">
      <formula>0.03</formula>
    </cfRule>
    <cfRule type="cellIs" dxfId="260" priority="110" stopIfTrue="1" operator="lessThan">
      <formula>-0.03</formula>
    </cfRule>
  </conditionalFormatting>
  <conditionalFormatting sqref="AA103">
    <cfRule type="cellIs" dxfId="259" priority="105" operator="greaterThan">
      <formula>0.03</formula>
    </cfRule>
    <cfRule type="cellIs" dxfId="258" priority="106" stopIfTrue="1" operator="lessThan">
      <formula>-0.03</formula>
    </cfRule>
  </conditionalFormatting>
  <conditionalFormatting sqref="Y99">
    <cfRule type="cellIs" dxfId="257" priority="115" operator="greaterThan">
      <formula>0.03</formula>
    </cfRule>
    <cfRule type="cellIs" dxfId="256" priority="116" stopIfTrue="1" operator="lessThan">
      <formula>-0.03</formula>
    </cfRule>
  </conditionalFormatting>
  <conditionalFormatting sqref="V91:X106">
    <cfRule type="cellIs" dxfId="255" priority="129" operator="greaterThan">
      <formula>0.03</formula>
    </cfRule>
    <cfRule type="cellIs" dxfId="254" priority="130" stopIfTrue="1" operator="lessThan">
      <formula>-0.03</formula>
    </cfRule>
  </conditionalFormatting>
  <conditionalFormatting sqref="Y91">
    <cfRule type="cellIs" dxfId="253" priority="127" operator="greaterThan">
      <formula>0.03</formula>
    </cfRule>
    <cfRule type="cellIs" dxfId="252" priority="128" stopIfTrue="1" operator="lessThan">
      <formula>-0.03</formula>
    </cfRule>
  </conditionalFormatting>
  <conditionalFormatting sqref="Z91">
    <cfRule type="cellIs" dxfId="251" priority="125" operator="greaterThan">
      <formula>0.03</formula>
    </cfRule>
    <cfRule type="cellIs" dxfId="250" priority="126" stopIfTrue="1" operator="lessThan">
      <formula>-0.03</formula>
    </cfRule>
  </conditionalFormatting>
  <conditionalFormatting sqref="AA91">
    <cfRule type="cellIs" dxfId="249" priority="123" operator="greaterThan">
      <formula>0.03</formula>
    </cfRule>
    <cfRule type="cellIs" dxfId="248" priority="124" stopIfTrue="1" operator="lessThan">
      <formula>-0.03</formula>
    </cfRule>
  </conditionalFormatting>
  <conditionalFormatting sqref="Y95">
    <cfRule type="cellIs" dxfId="247" priority="121" operator="greaterThan">
      <formula>0.03</formula>
    </cfRule>
    <cfRule type="cellIs" dxfId="246" priority="122" stopIfTrue="1" operator="lessThan">
      <formula>-0.03</formula>
    </cfRule>
  </conditionalFormatting>
  <conditionalFormatting sqref="Z95">
    <cfRule type="cellIs" dxfId="245" priority="119" operator="greaterThan">
      <formula>0.03</formula>
    </cfRule>
    <cfRule type="cellIs" dxfId="244" priority="120" stopIfTrue="1" operator="lessThan">
      <formula>-0.03</formula>
    </cfRule>
  </conditionalFormatting>
  <conditionalFormatting sqref="AA95">
    <cfRule type="cellIs" dxfId="243" priority="117" operator="greaterThan">
      <formula>0.03</formula>
    </cfRule>
    <cfRule type="cellIs" dxfId="242" priority="118" stopIfTrue="1" operator="lessThan">
      <formula>-0.03</formula>
    </cfRule>
  </conditionalFormatting>
  <conditionalFormatting sqref="Z99">
    <cfRule type="cellIs" dxfId="241" priority="113" operator="greaterThan">
      <formula>0.03</formula>
    </cfRule>
    <cfRule type="cellIs" dxfId="240" priority="114" stopIfTrue="1" operator="lessThan">
      <formula>-0.03</formula>
    </cfRule>
  </conditionalFormatting>
  <conditionalFormatting sqref="AA99">
    <cfRule type="cellIs" dxfId="239" priority="111" operator="greaterThan">
      <formula>0.03</formula>
    </cfRule>
    <cfRule type="cellIs" dxfId="238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A117"/>
  <sheetViews>
    <sheetView topLeftCell="A75" workbookViewId="0">
      <selection activeCell="B95" sqref="B95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>
      <c r="D1" s="124" t="s">
        <v>12</v>
      </c>
      <c r="E1" s="125"/>
      <c r="F1" s="125"/>
      <c r="G1" s="125"/>
      <c r="H1" s="125"/>
      <c r="I1" s="125"/>
      <c r="J1" s="126"/>
      <c r="L1" s="124" t="s">
        <v>13</v>
      </c>
      <c r="M1" s="125"/>
      <c r="N1" s="125"/>
      <c r="O1" s="125"/>
      <c r="P1" s="125"/>
      <c r="Q1" s="125"/>
      <c r="R1" s="126"/>
      <c r="S1" s="37"/>
      <c r="T1" s="37"/>
      <c r="U1" s="2"/>
      <c r="V1" s="124" t="s">
        <v>24</v>
      </c>
      <c r="W1" s="125"/>
      <c r="X1" s="126"/>
      <c r="Y1" s="124" t="s">
        <v>25</v>
      </c>
      <c r="Z1" s="125"/>
      <c r="AA1" s="126"/>
    </row>
    <row r="2" spans="1:27" ht="12.75" thickBot="1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38</v>
      </c>
      <c r="T2" s="7" t="s">
        <v>39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>
      <c r="A3" s="11" t="s">
        <v>72</v>
      </c>
      <c r="B3" s="11" t="s">
        <v>416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>
      <c r="A4" s="16" t="s">
        <v>46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>
      <c r="A7" s="16"/>
      <c r="B7" s="11" t="s">
        <v>417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>
      <c r="A11" s="35"/>
      <c r="B11" s="34" t="s">
        <v>503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>
      <c r="A15" s="11" t="s">
        <v>73</v>
      </c>
      <c r="B15" s="11" t="s">
        <v>418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>
      <c r="A16" s="16" t="s">
        <v>46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>
      <c r="A19" s="16"/>
      <c r="B19" s="16" t="s">
        <v>419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>
      <c r="A23" s="35"/>
      <c r="B23" s="16" t="s">
        <v>420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>
      <c r="A27" s="11" t="s">
        <v>1</v>
      </c>
      <c r="B27" s="11" t="s">
        <v>422</v>
      </c>
      <c r="C27" s="11">
        <v>22</v>
      </c>
      <c r="D27" s="12">
        <f>Reference!B337</f>
        <v>0</v>
      </c>
      <c r="E27" s="13">
        <f>Reference!C337</f>
        <v>0</v>
      </c>
      <c r="F27" s="13">
        <f>Reference!D337</f>
        <v>0</v>
      </c>
      <c r="G27" s="13">
        <f>Reference!E337</f>
        <v>0</v>
      </c>
      <c r="H27" s="13">
        <f>Reference!F337</f>
        <v>0</v>
      </c>
      <c r="I27" s="13">
        <f>Reference!G337</f>
        <v>0</v>
      </c>
      <c r="J27" s="14">
        <f t="shared" ref="J27" si="0">H27/3600</f>
        <v>0</v>
      </c>
      <c r="L27" s="12">
        <f>Test!B337</f>
        <v>0</v>
      </c>
      <c r="M27" s="13">
        <f>Test!C337</f>
        <v>0</v>
      </c>
      <c r="N27" s="13">
        <f>Test!D337</f>
        <v>0</v>
      </c>
      <c r="O27" s="13">
        <f>Test!E337</f>
        <v>0</v>
      </c>
      <c r="P27" s="13">
        <f>Test!F337</f>
        <v>0</v>
      </c>
      <c r="Q27" s="13">
        <f>Test!G337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>
      <c r="A28" s="16" t="s">
        <v>47</v>
      </c>
      <c r="B28" s="16"/>
      <c r="C28" s="16">
        <v>27</v>
      </c>
      <c r="D28" s="17">
        <f>Reference!B338</f>
        <v>0</v>
      </c>
      <c r="E28" s="18">
        <f>Reference!C338</f>
        <v>0</v>
      </c>
      <c r="F28" s="18">
        <f>Reference!D338</f>
        <v>0</v>
      </c>
      <c r="G28" s="18">
        <f>Reference!E338</f>
        <v>0</v>
      </c>
      <c r="H28" s="18">
        <f>Reference!F338</f>
        <v>0</v>
      </c>
      <c r="I28" s="18">
        <f>Reference!G338</f>
        <v>0</v>
      </c>
      <c r="J28" s="19">
        <f t="shared" ref="J28:J91" si="3">H28/3600</f>
        <v>0</v>
      </c>
      <c r="L28" s="17">
        <f>Test!B338</f>
        <v>0</v>
      </c>
      <c r="M28" s="18">
        <f>Test!C338</f>
        <v>0</v>
      </c>
      <c r="N28" s="18">
        <f>Test!D338</f>
        <v>0</v>
      </c>
      <c r="O28" s="18">
        <f>Test!E338</f>
        <v>0</v>
      </c>
      <c r="P28" s="18">
        <f>Test!F338</f>
        <v>0</v>
      </c>
      <c r="Q28" s="18">
        <f>Test!G338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>
      <c r="A29" s="16"/>
      <c r="B29" s="16"/>
      <c r="C29" s="16">
        <v>32</v>
      </c>
      <c r="D29" s="17">
        <f>Reference!B339</f>
        <v>0</v>
      </c>
      <c r="E29" s="18">
        <f>Reference!C339</f>
        <v>0</v>
      </c>
      <c r="F29" s="18">
        <f>Reference!D339</f>
        <v>0</v>
      </c>
      <c r="G29" s="18">
        <f>Reference!E339</f>
        <v>0</v>
      </c>
      <c r="H29" s="18">
        <f>Reference!F339</f>
        <v>0</v>
      </c>
      <c r="I29" s="18">
        <f>Reference!G339</f>
        <v>0</v>
      </c>
      <c r="J29" s="19">
        <f t="shared" si="3"/>
        <v>0</v>
      </c>
      <c r="L29" s="17">
        <f>Test!B339</f>
        <v>0</v>
      </c>
      <c r="M29" s="18">
        <f>Test!C339</f>
        <v>0</v>
      </c>
      <c r="N29" s="18">
        <f>Test!D339</f>
        <v>0</v>
      </c>
      <c r="O29" s="18">
        <f>Test!E339</f>
        <v>0</v>
      </c>
      <c r="P29" s="18">
        <f>Test!F339</f>
        <v>0</v>
      </c>
      <c r="Q29" s="18">
        <f>Test!G339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>
      <c r="A30" s="16"/>
      <c r="B30" s="21"/>
      <c r="C30" s="21">
        <v>37</v>
      </c>
      <c r="D30" s="22">
        <f>Reference!B340</f>
        <v>0</v>
      </c>
      <c r="E30" s="23">
        <f>Reference!C340</f>
        <v>0</v>
      </c>
      <c r="F30" s="23">
        <f>Reference!D340</f>
        <v>0</v>
      </c>
      <c r="G30" s="23">
        <f>Reference!E340</f>
        <v>0</v>
      </c>
      <c r="H30" s="23">
        <f>Reference!F340</f>
        <v>0</v>
      </c>
      <c r="I30" s="23">
        <f>Reference!G340</f>
        <v>0</v>
      </c>
      <c r="J30" s="24">
        <f t="shared" si="3"/>
        <v>0</v>
      </c>
      <c r="L30" s="22">
        <f>Test!B340</f>
        <v>0</v>
      </c>
      <c r="M30" s="23">
        <f>Test!C340</f>
        <v>0</v>
      </c>
      <c r="N30" s="23">
        <f>Test!D340</f>
        <v>0</v>
      </c>
      <c r="O30" s="23">
        <f>Test!E340</f>
        <v>0</v>
      </c>
      <c r="P30" s="23">
        <f>Test!F340</f>
        <v>0</v>
      </c>
      <c r="Q30" s="23">
        <f>Test!G340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>
      <c r="A31" s="16"/>
      <c r="B31" s="11" t="s">
        <v>421</v>
      </c>
      <c r="C31" s="11">
        <v>22</v>
      </c>
      <c r="D31" s="12">
        <f>Reference!B341</f>
        <v>0</v>
      </c>
      <c r="E31" s="13">
        <f>Reference!C341</f>
        <v>0</v>
      </c>
      <c r="F31" s="13">
        <f>Reference!D341</f>
        <v>0</v>
      </c>
      <c r="G31" s="13">
        <f>Reference!E341</f>
        <v>0</v>
      </c>
      <c r="H31" s="13">
        <f>Reference!F341</f>
        <v>0</v>
      </c>
      <c r="I31" s="13">
        <f>Reference!G341</f>
        <v>0</v>
      </c>
      <c r="J31" s="14">
        <f t="shared" si="3"/>
        <v>0</v>
      </c>
      <c r="L31" s="12">
        <f>Test!B341</f>
        <v>0</v>
      </c>
      <c r="M31" s="13">
        <f>Test!C341</f>
        <v>0</v>
      </c>
      <c r="N31" s="13">
        <f>Test!D341</f>
        <v>0</v>
      </c>
      <c r="O31" s="13">
        <f>Test!E341</f>
        <v>0</v>
      </c>
      <c r="P31" s="13">
        <f>Test!F341</f>
        <v>0</v>
      </c>
      <c r="Q31" s="13">
        <f>Test!G341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>
      <c r="A32" s="16"/>
      <c r="B32" s="16"/>
      <c r="C32" s="16">
        <v>27</v>
      </c>
      <c r="D32" s="17">
        <f>Reference!B342</f>
        <v>0</v>
      </c>
      <c r="E32" s="18">
        <f>Reference!C342</f>
        <v>0</v>
      </c>
      <c r="F32" s="18">
        <f>Reference!D342</f>
        <v>0</v>
      </c>
      <c r="G32" s="18">
        <f>Reference!E342</f>
        <v>0</v>
      </c>
      <c r="H32" s="18">
        <f>Reference!F342</f>
        <v>0</v>
      </c>
      <c r="I32" s="18">
        <f>Reference!G342</f>
        <v>0</v>
      </c>
      <c r="J32" s="19">
        <f t="shared" si="3"/>
        <v>0</v>
      </c>
      <c r="L32" s="17">
        <f>Test!B342</f>
        <v>0</v>
      </c>
      <c r="M32" s="18">
        <f>Test!C342</f>
        <v>0</v>
      </c>
      <c r="N32" s="18">
        <f>Test!D342</f>
        <v>0</v>
      </c>
      <c r="O32" s="18">
        <f>Test!E342</f>
        <v>0</v>
      </c>
      <c r="P32" s="18">
        <f>Test!F342</f>
        <v>0</v>
      </c>
      <c r="Q32" s="18">
        <f>Test!G342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>
      <c r="A33" s="16"/>
      <c r="B33" s="16"/>
      <c r="C33" s="16">
        <v>32</v>
      </c>
      <c r="D33" s="17">
        <f>Reference!B343</f>
        <v>0</v>
      </c>
      <c r="E33" s="18">
        <f>Reference!C343</f>
        <v>0</v>
      </c>
      <c r="F33" s="18">
        <f>Reference!D343</f>
        <v>0</v>
      </c>
      <c r="G33" s="18">
        <f>Reference!E343</f>
        <v>0</v>
      </c>
      <c r="H33" s="18">
        <f>Reference!F343</f>
        <v>0</v>
      </c>
      <c r="I33" s="18">
        <f>Reference!G343</f>
        <v>0</v>
      </c>
      <c r="J33" s="19">
        <f t="shared" si="3"/>
        <v>0</v>
      </c>
      <c r="L33" s="17">
        <f>Test!B343</f>
        <v>0</v>
      </c>
      <c r="M33" s="18">
        <f>Test!C343</f>
        <v>0</v>
      </c>
      <c r="N33" s="18">
        <f>Test!D343</f>
        <v>0</v>
      </c>
      <c r="O33" s="18">
        <f>Test!E343</f>
        <v>0</v>
      </c>
      <c r="P33" s="18">
        <f>Test!F343</f>
        <v>0</v>
      </c>
      <c r="Q33" s="18">
        <f>Test!G343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>
      <c r="A34" s="16"/>
      <c r="B34" s="21"/>
      <c r="C34" s="21">
        <v>37</v>
      </c>
      <c r="D34" s="22">
        <f>Reference!B344</f>
        <v>0</v>
      </c>
      <c r="E34" s="23">
        <f>Reference!C344</f>
        <v>0</v>
      </c>
      <c r="F34" s="23">
        <f>Reference!D344</f>
        <v>0</v>
      </c>
      <c r="G34" s="23">
        <f>Reference!E344</f>
        <v>0</v>
      </c>
      <c r="H34" s="23">
        <f>Reference!F344</f>
        <v>0</v>
      </c>
      <c r="I34" s="23">
        <f>Reference!G344</f>
        <v>0</v>
      </c>
      <c r="J34" s="24">
        <f t="shared" si="3"/>
        <v>0</v>
      </c>
      <c r="L34" s="22">
        <f>Test!B344</f>
        <v>0</v>
      </c>
      <c r="M34" s="23">
        <f>Test!C344</f>
        <v>0</v>
      </c>
      <c r="N34" s="23">
        <f>Test!D344</f>
        <v>0</v>
      </c>
      <c r="O34" s="23">
        <f>Test!E344</f>
        <v>0</v>
      </c>
      <c r="P34" s="23">
        <f>Test!F344</f>
        <v>0</v>
      </c>
      <c r="Q34" s="23">
        <f>Test!G344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>
      <c r="A35" s="16"/>
      <c r="B35" s="11" t="s">
        <v>2</v>
      </c>
      <c r="C35" s="11">
        <v>22</v>
      </c>
      <c r="D35" s="12">
        <f>Reference!B345</f>
        <v>0</v>
      </c>
      <c r="E35" s="13">
        <f>Reference!C345</f>
        <v>0</v>
      </c>
      <c r="F35" s="13">
        <f>Reference!D345</f>
        <v>0</v>
      </c>
      <c r="G35" s="13">
        <f>Reference!E345</f>
        <v>0</v>
      </c>
      <c r="H35" s="13">
        <f>Reference!F345</f>
        <v>0</v>
      </c>
      <c r="I35" s="13">
        <f>Reference!G345</f>
        <v>0</v>
      </c>
      <c r="J35" s="14">
        <f t="shared" si="3"/>
        <v>0</v>
      </c>
      <c r="L35" s="12">
        <f>Test!B345</f>
        <v>0</v>
      </c>
      <c r="M35" s="13">
        <f>Test!C345</f>
        <v>0</v>
      </c>
      <c r="N35" s="13">
        <f>Test!D345</f>
        <v>0</v>
      </c>
      <c r="O35" s="13">
        <f>Test!E345</f>
        <v>0</v>
      </c>
      <c r="P35" s="13">
        <f>Test!F345</f>
        <v>0</v>
      </c>
      <c r="Q35" s="13">
        <f>Test!G345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>
      <c r="A36" s="16"/>
      <c r="B36" s="16"/>
      <c r="C36" s="16">
        <v>27</v>
      </c>
      <c r="D36" s="17">
        <f>Reference!B346</f>
        <v>0</v>
      </c>
      <c r="E36" s="18">
        <f>Reference!C346</f>
        <v>0</v>
      </c>
      <c r="F36" s="18">
        <f>Reference!D346</f>
        <v>0</v>
      </c>
      <c r="G36" s="18">
        <f>Reference!E346</f>
        <v>0</v>
      </c>
      <c r="H36" s="18">
        <f>Reference!F346</f>
        <v>0</v>
      </c>
      <c r="I36" s="18">
        <f>Reference!G346</f>
        <v>0</v>
      </c>
      <c r="J36" s="19">
        <f t="shared" si="3"/>
        <v>0</v>
      </c>
      <c r="L36" s="17">
        <f>Test!B346</f>
        <v>0</v>
      </c>
      <c r="M36" s="18">
        <f>Test!C346</f>
        <v>0</v>
      </c>
      <c r="N36" s="18">
        <f>Test!D346</f>
        <v>0</v>
      </c>
      <c r="O36" s="18">
        <f>Test!E346</f>
        <v>0</v>
      </c>
      <c r="P36" s="18">
        <f>Test!F346</f>
        <v>0</v>
      </c>
      <c r="Q36" s="18">
        <f>Test!G346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>
      <c r="A37" s="16"/>
      <c r="B37" s="16"/>
      <c r="C37" s="16">
        <v>32</v>
      </c>
      <c r="D37" s="17">
        <f>Reference!B347</f>
        <v>0</v>
      </c>
      <c r="E37" s="18">
        <f>Reference!C347</f>
        <v>0</v>
      </c>
      <c r="F37" s="18">
        <f>Reference!D347</f>
        <v>0</v>
      </c>
      <c r="G37" s="18">
        <f>Reference!E347</f>
        <v>0</v>
      </c>
      <c r="H37" s="18">
        <f>Reference!F347</f>
        <v>0</v>
      </c>
      <c r="I37" s="18">
        <f>Reference!G347</f>
        <v>0</v>
      </c>
      <c r="J37" s="19">
        <f t="shared" si="3"/>
        <v>0</v>
      </c>
      <c r="L37" s="17">
        <f>Test!B347</f>
        <v>0</v>
      </c>
      <c r="M37" s="18">
        <f>Test!C347</f>
        <v>0</v>
      </c>
      <c r="N37" s="18">
        <f>Test!D347</f>
        <v>0</v>
      </c>
      <c r="O37" s="18">
        <f>Test!E347</f>
        <v>0</v>
      </c>
      <c r="P37" s="18">
        <f>Test!F347</f>
        <v>0</v>
      </c>
      <c r="Q37" s="18">
        <f>Test!G347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>
      <c r="A38" s="16"/>
      <c r="B38" s="21"/>
      <c r="C38" s="21">
        <v>37</v>
      </c>
      <c r="D38" s="22">
        <f>Reference!B348</f>
        <v>0</v>
      </c>
      <c r="E38" s="23">
        <f>Reference!C348</f>
        <v>0</v>
      </c>
      <c r="F38" s="23">
        <f>Reference!D348</f>
        <v>0</v>
      </c>
      <c r="G38" s="23">
        <f>Reference!E348</f>
        <v>0</v>
      </c>
      <c r="H38" s="23">
        <f>Reference!F348</f>
        <v>0</v>
      </c>
      <c r="I38" s="23">
        <f>Reference!G348</f>
        <v>0</v>
      </c>
      <c r="J38" s="24">
        <f t="shared" si="3"/>
        <v>0</v>
      </c>
      <c r="L38" s="22">
        <f>Test!B348</f>
        <v>0</v>
      </c>
      <c r="M38" s="23">
        <f>Test!C348</f>
        <v>0</v>
      </c>
      <c r="N38" s="23">
        <f>Test!D348</f>
        <v>0</v>
      </c>
      <c r="O38" s="23">
        <f>Test!E348</f>
        <v>0</v>
      </c>
      <c r="P38" s="23">
        <f>Test!F348</f>
        <v>0</v>
      </c>
      <c r="Q38" s="23">
        <f>Test!G348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>
      <c r="A39" s="16"/>
      <c r="B39" s="11" t="s">
        <v>3</v>
      </c>
      <c r="C39" s="11">
        <v>22</v>
      </c>
      <c r="D39" s="12">
        <f>Reference!B349</f>
        <v>0</v>
      </c>
      <c r="E39" s="13">
        <f>Reference!C349</f>
        <v>0</v>
      </c>
      <c r="F39" s="13">
        <f>Reference!D349</f>
        <v>0</v>
      </c>
      <c r="G39" s="13">
        <f>Reference!E349</f>
        <v>0</v>
      </c>
      <c r="H39" s="13">
        <f>Reference!F349</f>
        <v>0</v>
      </c>
      <c r="I39" s="13">
        <f>Reference!G349</f>
        <v>0</v>
      </c>
      <c r="J39" s="14">
        <f t="shared" si="3"/>
        <v>0</v>
      </c>
      <c r="L39" s="12">
        <f>Test!B349</f>
        <v>0</v>
      </c>
      <c r="M39" s="13">
        <f>Test!C349</f>
        <v>0</v>
      </c>
      <c r="N39" s="13">
        <f>Test!D349</f>
        <v>0</v>
      </c>
      <c r="O39" s="13">
        <f>Test!E349</f>
        <v>0</v>
      </c>
      <c r="P39" s="13">
        <f>Test!F349</f>
        <v>0</v>
      </c>
      <c r="Q39" s="13">
        <f>Test!G349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>
      <c r="A40" s="16"/>
      <c r="B40" s="16"/>
      <c r="C40" s="16">
        <v>27</v>
      </c>
      <c r="D40" s="17">
        <f>Reference!B350</f>
        <v>0</v>
      </c>
      <c r="E40" s="18">
        <f>Reference!C350</f>
        <v>0</v>
      </c>
      <c r="F40" s="18">
        <f>Reference!D350</f>
        <v>0</v>
      </c>
      <c r="G40" s="18">
        <f>Reference!E350</f>
        <v>0</v>
      </c>
      <c r="H40" s="18">
        <f>Reference!F350</f>
        <v>0</v>
      </c>
      <c r="I40" s="18">
        <f>Reference!G350</f>
        <v>0</v>
      </c>
      <c r="J40" s="19">
        <f t="shared" si="3"/>
        <v>0</v>
      </c>
      <c r="L40" s="17">
        <f>Test!B350</f>
        <v>0</v>
      </c>
      <c r="M40" s="18">
        <f>Test!C350</f>
        <v>0</v>
      </c>
      <c r="N40" s="18">
        <f>Test!D350</f>
        <v>0</v>
      </c>
      <c r="O40" s="18">
        <f>Test!E350</f>
        <v>0</v>
      </c>
      <c r="P40" s="18">
        <f>Test!F350</f>
        <v>0</v>
      </c>
      <c r="Q40" s="18">
        <f>Test!G350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>
      <c r="A41" s="16"/>
      <c r="B41" s="16"/>
      <c r="C41" s="16">
        <v>32</v>
      </c>
      <c r="D41" s="17">
        <f>Reference!B351</f>
        <v>0</v>
      </c>
      <c r="E41" s="18">
        <f>Reference!C351</f>
        <v>0</v>
      </c>
      <c r="F41" s="18">
        <f>Reference!D351</f>
        <v>0</v>
      </c>
      <c r="G41" s="18">
        <f>Reference!E351</f>
        <v>0</v>
      </c>
      <c r="H41" s="18">
        <f>Reference!F351</f>
        <v>0</v>
      </c>
      <c r="I41" s="18">
        <f>Reference!G351</f>
        <v>0</v>
      </c>
      <c r="J41" s="19">
        <f t="shared" si="3"/>
        <v>0</v>
      </c>
      <c r="L41" s="17">
        <f>Test!B351</f>
        <v>0</v>
      </c>
      <c r="M41" s="18">
        <f>Test!C351</f>
        <v>0</v>
      </c>
      <c r="N41" s="18">
        <f>Test!D351</f>
        <v>0</v>
      </c>
      <c r="O41" s="18">
        <f>Test!E351</f>
        <v>0</v>
      </c>
      <c r="P41" s="18">
        <f>Test!F351</f>
        <v>0</v>
      </c>
      <c r="Q41" s="18">
        <f>Test!G351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>
      <c r="A42" s="16"/>
      <c r="B42" s="21"/>
      <c r="C42" s="21">
        <v>37</v>
      </c>
      <c r="D42" s="22">
        <f>Reference!B352</f>
        <v>0</v>
      </c>
      <c r="E42" s="23">
        <f>Reference!C352</f>
        <v>0</v>
      </c>
      <c r="F42" s="23">
        <f>Reference!D352</f>
        <v>0</v>
      </c>
      <c r="G42" s="23">
        <f>Reference!E352</f>
        <v>0</v>
      </c>
      <c r="H42" s="23">
        <f>Reference!F352</f>
        <v>0</v>
      </c>
      <c r="I42" s="23">
        <f>Reference!G352</f>
        <v>0</v>
      </c>
      <c r="J42" s="24">
        <f t="shared" si="3"/>
        <v>0</v>
      </c>
      <c r="L42" s="22">
        <f>Test!B352</f>
        <v>0</v>
      </c>
      <c r="M42" s="23">
        <f>Test!C352</f>
        <v>0</v>
      </c>
      <c r="N42" s="23">
        <f>Test!D352</f>
        <v>0</v>
      </c>
      <c r="O42" s="23">
        <f>Test!E352</f>
        <v>0</v>
      </c>
      <c r="P42" s="23">
        <f>Test!F352</f>
        <v>0</v>
      </c>
      <c r="Q42" s="23">
        <f>Test!G352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>
      <c r="A43" s="16"/>
      <c r="B43" s="11" t="s">
        <v>4</v>
      </c>
      <c r="C43" s="11">
        <v>22</v>
      </c>
      <c r="D43" s="12">
        <f>Reference!B353</f>
        <v>0</v>
      </c>
      <c r="E43" s="13">
        <f>Reference!C353</f>
        <v>0</v>
      </c>
      <c r="F43" s="13">
        <f>Reference!D353</f>
        <v>0</v>
      </c>
      <c r="G43" s="13">
        <f>Reference!E353</f>
        <v>0</v>
      </c>
      <c r="H43" s="13">
        <f>Reference!F353</f>
        <v>0</v>
      </c>
      <c r="I43" s="13">
        <f>Reference!G353</f>
        <v>0</v>
      </c>
      <c r="J43" s="14">
        <f t="shared" si="3"/>
        <v>0</v>
      </c>
      <c r="L43" s="12">
        <f>Test!B353</f>
        <v>0</v>
      </c>
      <c r="M43" s="13">
        <f>Test!C353</f>
        <v>0</v>
      </c>
      <c r="N43" s="13">
        <f>Test!D353</f>
        <v>0</v>
      </c>
      <c r="O43" s="13">
        <f>Test!E353</f>
        <v>0</v>
      </c>
      <c r="P43" s="13">
        <f>Test!F353</f>
        <v>0</v>
      </c>
      <c r="Q43" s="13">
        <f>Test!G353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>
      <c r="A44" s="16"/>
      <c r="B44" s="16"/>
      <c r="C44" s="16">
        <v>27</v>
      </c>
      <c r="D44" s="17">
        <f>Reference!B354</f>
        <v>0</v>
      </c>
      <c r="E44" s="18">
        <f>Reference!C354</f>
        <v>0</v>
      </c>
      <c r="F44" s="18">
        <f>Reference!D354</f>
        <v>0</v>
      </c>
      <c r="G44" s="18">
        <f>Reference!E354</f>
        <v>0</v>
      </c>
      <c r="H44" s="18">
        <f>Reference!F354</f>
        <v>0</v>
      </c>
      <c r="I44" s="18">
        <f>Reference!G354</f>
        <v>0</v>
      </c>
      <c r="J44" s="19">
        <f t="shared" si="3"/>
        <v>0</v>
      </c>
      <c r="L44" s="17">
        <f>Test!B354</f>
        <v>0</v>
      </c>
      <c r="M44" s="18">
        <f>Test!C354</f>
        <v>0</v>
      </c>
      <c r="N44" s="18">
        <f>Test!D354</f>
        <v>0</v>
      </c>
      <c r="O44" s="18">
        <f>Test!E354</f>
        <v>0</v>
      </c>
      <c r="P44" s="18">
        <f>Test!F354</f>
        <v>0</v>
      </c>
      <c r="Q44" s="18">
        <f>Test!G354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>
      <c r="A45" s="16"/>
      <c r="B45" s="16"/>
      <c r="C45" s="16">
        <v>32</v>
      </c>
      <c r="D45" s="17">
        <f>Reference!B355</f>
        <v>0</v>
      </c>
      <c r="E45" s="18">
        <f>Reference!C355</f>
        <v>0</v>
      </c>
      <c r="F45" s="18">
        <f>Reference!D355</f>
        <v>0</v>
      </c>
      <c r="G45" s="18">
        <f>Reference!E355</f>
        <v>0</v>
      </c>
      <c r="H45" s="18">
        <f>Reference!F355</f>
        <v>0</v>
      </c>
      <c r="I45" s="18">
        <f>Reference!G355</f>
        <v>0</v>
      </c>
      <c r="J45" s="19">
        <f t="shared" si="3"/>
        <v>0</v>
      </c>
      <c r="L45" s="17">
        <f>Test!B355</f>
        <v>0</v>
      </c>
      <c r="M45" s="18">
        <f>Test!C355</f>
        <v>0</v>
      </c>
      <c r="N45" s="18">
        <f>Test!D355</f>
        <v>0</v>
      </c>
      <c r="O45" s="18">
        <f>Test!E355</f>
        <v>0</v>
      </c>
      <c r="P45" s="18">
        <f>Test!F355</f>
        <v>0</v>
      </c>
      <c r="Q45" s="18">
        <f>Test!G355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>
      <c r="A46" s="21"/>
      <c r="B46" s="21"/>
      <c r="C46" s="21">
        <v>37</v>
      </c>
      <c r="D46" s="22">
        <f>Reference!B356</f>
        <v>0</v>
      </c>
      <c r="E46" s="23">
        <f>Reference!C356</f>
        <v>0</v>
      </c>
      <c r="F46" s="23">
        <f>Reference!D356</f>
        <v>0</v>
      </c>
      <c r="G46" s="23">
        <f>Reference!E356</f>
        <v>0</v>
      </c>
      <c r="H46" s="23">
        <f>Reference!F356</f>
        <v>0</v>
      </c>
      <c r="I46" s="23">
        <f>Reference!G356</f>
        <v>0</v>
      </c>
      <c r="J46" s="24">
        <f t="shared" si="3"/>
        <v>0</v>
      </c>
      <c r="L46" s="22">
        <f>Test!B356</f>
        <v>0</v>
      </c>
      <c r="M46" s="23">
        <f>Test!C356</f>
        <v>0</v>
      </c>
      <c r="N46" s="23">
        <f>Test!D356</f>
        <v>0</v>
      </c>
      <c r="O46" s="23">
        <f>Test!E356</f>
        <v>0</v>
      </c>
      <c r="P46" s="23">
        <f>Test!F356</f>
        <v>0</v>
      </c>
      <c r="Q46" s="23">
        <f>Test!G356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>
      <c r="A47" s="11" t="s">
        <v>5</v>
      </c>
      <c r="B47" s="11" t="s">
        <v>53</v>
      </c>
      <c r="C47" s="11">
        <v>22</v>
      </c>
      <c r="D47" s="12">
        <f>Reference!B357</f>
        <v>0</v>
      </c>
      <c r="E47" s="13">
        <f>Reference!C357</f>
        <v>0</v>
      </c>
      <c r="F47" s="13">
        <f>Reference!D357</f>
        <v>0</v>
      </c>
      <c r="G47" s="13">
        <f>Reference!E357</f>
        <v>0</v>
      </c>
      <c r="H47" s="13">
        <f>Reference!F357</f>
        <v>0</v>
      </c>
      <c r="I47" s="13">
        <f>Reference!G357</f>
        <v>0</v>
      </c>
      <c r="J47" s="14">
        <f t="shared" si="3"/>
        <v>0</v>
      </c>
      <c r="L47" s="12">
        <f>Test!B357</f>
        <v>0</v>
      </c>
      <c r="M47" s="13">
        <f>Test!C357</f>
        <v>0</v>
      </c>
      <c r="N47" s="13">
        <f>Test!D357</f>
        <v>0</v>
      </c>
      <c r="O47" s="13">
        <f>Test!E357</f>
        <v>0</v>
      </c>
      <c r="P47" s="13">
        <f>Test!F357</f>
        <v>0</v>
      </c>
      <c r="Q47" s="13">
        <f>Test!G357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>
      <c r="A48" s="16" t="s">
        <v>48</v>
      </c>
      <c r="B48" s="16"/>
      <c r="C48" s="16">
        <v>27</v>
      </c>
      <c r="D48" s="17">
        <f>Reference!B358</f>
        <v>0</v>
      </c>
      <c r="E48" s="18">
        <f>Reference!C358</f>
        <v>0</v>
      </c>
      <c r="F48" s="18">
        <f>Reference!D358</f>
        <v>0</v>
      </c>
      <c r="G48" s="18">
        <f>Reference!E358</f>
        <v>0</v>
      </c>
      <c r="H48" s="18">
        <f>Reference!F358</f>
        <v>0</v>
      </c>
      <c r="I48" s="18">
        <f>Reference!G358</f>
        <v>0</v>
      </c>
      <c r="J48" s="19">
        <f t="shared" si="3"/>
        <v>0</v>
      </c>
      <c r="L48" s="17">
        <f>Test!B358</f>
        <v>0</v>
      </c>
      <c r="M48" s="18">
        <f>Test!C358</f>
        <v>0</v>
      </c>
      <c r="N48" s="18">
        <f>Test!D358</f>
        <v>0</v>
      </c>
      <c r="O48" s="18">
        <f>Test!E358</f>
        <v>0</v>
      </c>
      <c r="P48" s="18">
        <f>Test!F358</f>
        <v>0</v>
      </c>
      <c r="Q48" s="18">
        <f>Test!G358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>
      <c r="A49" s="16"/>
      <c r="B49" s="16"/>
      <c r="C49" s="16">
        <v>32</v>
      </c>
      <c r="D49" s="17">
        <f>Reference!B359</f>
        <v>0</v>
      </c>
      <c r="E49" s="18">
        <f>Reference!C359</f>
        <v>0</v>
      </c>
      <c r="F49" s="18">
        <f>Reference!D359</f>
        <v>0</v>
      </c>
      <c r="G49" s="18">
        <f>Reference!E359</f>
        <v>0</v>
      </c>
      <c r="H49" s="18">
        <f>Reference!F359</f>
        <v>0</v>
      </c>
      <c r="I49" s="18">
        <f>Reference!G359</f>
        <v>0</v>
      </c>
      <c r="J49" s="19">
        <f t="shared" si="3"/>
        <v>0</v>
      </c>
      <c r="L49" s="17">
        <f>Test!B359</f>
        <v>0</v>
      </c>
      <c r="M49" s="18">
        <f>Test!C359</f>
        <v>0</v>
      </c>
      <c r="N49" s="18">
        <f>Test!D359</f>
        <v>0</v>
      </c>
      <c r="O49" s="18">
        <f>Test!E359</f>
        <v>0</v>
      </c>
      <c r="P49" s="18">
        <f>Test!F359</f>
        <v>0</v>
      </c>
      <c r="Q49" s="18">
        <f>Test!G359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>
      <c r="A50" s="16"/>
      <c r="B50" s="21"/>
      <c r="C50" s="21">
        <v>37</v>
      </c>
      <c r="D50" s="22">
        <f>Reference!B360</f>
        <v>0</v>
      </c>
      <c r="E50" s="23">
        <f>Reference!C360</f>
        <v>0</v>
      </c>
      <c r="F50" s="23">
        <f>Reference!D360</f>
        <v>0</v>
      </c>
      <c r="G50" s="23">
        <f>Reference!E360</f>
        <v>0</v>
      </c>
      <c r="H50" s="23">
        <f>Reference!F360</f>
        <v>0</v>
      </c>
      <c r="I50" s="23">
        <f>Reference!G360</f>
        <v>0</v>
      </c>
      <c r="J50" s="24">
        <f t="shared" si="3"/>
        <v>0</v>
      </c>
      <c r="L50" s="22">
        <f>Test!B360</f>
        <v>0</v>
      </c>
      <c r="M50" s="23">
        <f>Test!C360</f>
        <v>0</v>
      </c>
      <c r="N50" s="23">
        <f>Test!D360</f>
        <v>0</v>
      </c>
      <c r="O50" s="23">
        <f>Test!E360</f>
        <v>0</v>
      </c>
      <c r="P50" s="23">
        <f>Test!F360</f>
        <v>0</v>
      </c>
      <c r="Q50" s="23">
        <f>Test!G360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>
      <c r="A51" s="16"/>
      <c r="B51" s="11" t="s">
        <v>37</v>
      </c>
      <c r="C51" s="11">
        <v>22</v>
      </c>
      <c r="D51" s="12">
        <f>Reference!B361</f>
        <v>0</v>
      </c>
      <c r="E51" s="13">
        <f>Reference!C361</f>
        <v>0</v>
      </c>
      <c r="F51" s="13">
        <f>Reference!D361</f>
        <v>0</v>
      </c>
      <c r="G51" s="13">
        <f>Reference!E361</f>
        <v>0</v>
      </c>
      <c r="H51" s="13">
        <f>Reference!F361</f>
        <v>0</v>
      </c>
      <c r="I51" s="13">
        <f>Reference!G361</f>
        <v>0</v>
      </c>
      <c r="J51" s="14">
        <f t="shared" si="3"/>
        <v>0</v>
      </c>
      <c r="L51" s="12">
        <f>Test!B361</f>
        <v>0</v>
      </c>
      <c r="M51" s="13">
        <f>Test!C361</f>
        <v>0</v>
      </c>
      <c r="N51" s="13">
        <f>Test!D361</f>
        <v>0</v>
      </c>
      <c r="O51" s="13">
        <f>Test!E361</f>
        <v>0</v>
      </c>
      <c r="P51" s="13">
        <f>Test!F361</f>
        <v>0</v>
      </c>
      <c r="Q51" s="13">
        <f>Test!G361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>
      <c r="A52" s="16"/>
      <c r="B52" s="16"/>
      <c r="C52" s="16">
        <v>27</v>
      </c>
      <c r="D52" s="17">
        <f>Reference!B362</f>
        <v>0</v>
      </c>
      <c r="E52" s="18">
        <f>Reference!C362</f>
        <v>0</v>
      </c>
      <c r="F52" s="18">
        <f>Reference!D362</f>
        <v>0</v>
      </c>
      <c r="G52" s="18">
        <f>Reference!E362</f>
        <v>0</v>
      </c>
      <c r="H52" s="18">
        <f>Reference!F362</f>
        <v>0</v>
      </c>
      <c r="I52" s="18">
        <f>Reference!G362</f>
        <v>0</v>
      </c>
      <c r="J52" s="19">
        <f t="shared" si="3"/>
        <v>0</v>
      </c>
      <c r="L52" s="17">
        <f>Test!B362</f>
        <v>0</v>
      </c>
      <c r="M52" s="18">
        <f>Test!C362</f>
        <v>0</v>
      </c>
      <c r="N52" s="18">
        <f>Test!D362</f>
        <v>0</v>
      </c>
      <c r="O52" s="18">
        <f>Test!E362</f>
        <v>0</v>
      </c>
      <c r="P52" s="18">
        <f>Test!F362</f>
        <v>0</v>
      </c>
      <c r="Q52" s="18">
        <f>Test!G362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>
      <c r="A53" s="16"/>
      <c r="B53" s="16"/>
      <c r="C53" s="16">
        <v>32</v>
      </c>
      <c r="D53" s="17">
        <f>Reference!B363</f>
        <v>0</v>
      </c>
      <c r="E53" s="18">
        <f>Reference!C363</f>
        <v>0</v>
      </c>
      <c r="F53" s="18">
        <f>Reference!D363</f>
        <v>0</v>
      </c>
      <c r="G53" s="18">
        <f>Reference!E363</f>
        <v>0</v>
      </c>
      <c r="H53" s="18">
        <f>Reference!F363</f>
        <v>0</v>
      </c>
      <c r="I53" s="18">
        <f>Reference!G363</f>
        <v>0</v>
      </c>
      <c r="J53" s="19">
        <f t="shared" si="3"/>
        <v>0</v>
      </c>
      <c r="L53" s="17">
        <f>Test!B363</f>
        <v>0</v>
      </c>
      <c r="M53" s="18">
        <f>Test!C363</f>
        <v>0</v>
      </c>
      <c r="N53" s="18">
        <f>Test!D363</f>
        <v>0</v>
      </c>
      <c r="O53" s="18">
        <f>Test!E363</f>
        <v>0</v>
      </c>
      <c r="P53" s="18">
        <f>Test!F363</f>
        <v>0</v>
      </c>
      <c r="Q53" s="18">
        <f>Test!G363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>
      <c r="A54" s="16"/>
      <c r="B54" s="21"/>
      <c r="C54" s="21">
        <v>37</v>
      </c>
      <c r="D54" s="22">
        <f>Reference!B364</f>
        <v>0</v>
      </c>
      <c r="E54" s="23">
        <f>Reference!C364</f>
        <v>0</v>
      </c>
      <c r="F54" s="23">
        <f>Reference!D364</f>
        <v>0</v>
      </c>
      <c r="G54" s="23">
        <f>Reference!E364</f>
        <v>0</v>
      </c>
      <c r="H54" s="23">
        <f>Reference!F364</f>
        <v>0</v>
      </c>
      <c r="I54" s="23">
        <f>Reference!G364</f>
        <v>0</v>
      </c>
      <c r="J54" s="24">
        <f t="shared" si="3"/>
        <v>0</v>
      </c>
      <c r="L54" s="22">
        <f>Test!B364</f>
        <v>0</v>
      </c>
      <c r="M54" s="23">
        <f>Test!C364</f>
        <v>0</v>
      </c>
      <c r="N54" s="23">
        <f>Test!D364</f>
        <v>0</v>
      </c>
      <c r="O54" s="23">
        <f>Test!E364</f>
        <v>0</v>
      </c>
      <c r="P54" s="23">
        <f>Test!F364</f>
        <v>0</v>
      </c>
      <c r="Q54" s="23">
        <f>Test!G364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>
      <c r="A55" s="16"/>
      <c r="B55" s="11" t="s">
        <v>54</v>
      </c>
      <c r="C55" s="11">
        <v>22</v>
      </c>
      <c r="D55" s="12">
        <f>Reference!B365</f>
        <v>0</v>
      </c>
      <c r="E55" s="13">
        <f>Reference!C365</f>
        <v>0</v>
      </c>
      <c r="F55" s="13">
        <f>Reference!D365</f>
        <v>0</v>
      </c>
      <c r="G55" s="13">
        <f>Reference!E365</f>
        <v>0</v>
      </c>
      <c r="H55" s="13">
        <f>Reference!F365</f>
        <v>0</v>
      </c>
      <c r="I55" s="13">
        <f>Reference!G365</f>
        <v>0</v>
      </c>
      <c r="J55" s="14">
        <f t="shared" si="3"/>
        <v>0</v>
      </c>
      <c r="L55" s="12">
        <f>Test!B365</f>
        <v>0</v>
      </c>
      <c r="M55" s="13">
        <f>Test!C365</f>
        <v>0</v>
      </c>
      <c r="N55" s="13">
        <f>Test!D365</f>
        <v>0</v>
      </c>
      <c r="O55" s="13">
        <f>Test!E365</f>
        <v>0</v>
      </c>
      <c r="P55" s="13">
        <f>Test!F365</f>
        <v>0</v>
      </c>
      <c r="Q55" s="13">
        <f>Test!G365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>
      <c r="A56" s="16"/>
      <c r="B56" s="16"/>
      <c r="C56" s="16">
        <v>27</v>
      </c>
      <c r="D56" s="17">
        <f>Reference!B366</f>
        <v>0</v>
      </c>
      <c r="E56" s="18">
        <f>Reference!C366</f>
        <v>0</v>
      </c>
      <c r="F56" s="18">
        <f>Reference!D366</f>
        <v>0</v>
      </c>
      <c r="G56" s="18">
        <f>Reference!E366</f>
        <v>0</v>
      </c>
      <c r="H56" s="18">
        <f>Reference!F366</f>
        <v>0</v>
      </c>
      <c r="I56" s="18">
        <f>Reference!G366</f>
        <v>0</v>
      </c>
      <c r="J56" s="19">
        <f t="shared" si="3"/>
        <v>0</v>
      </c>
      <c r="L56" s="17">
        <f>Test!B366</f>
        <v>0</v>
      </c>
      <c r="M56" s="18">
        <f>Test!C366</f>
        <v>0</v>
      </c>
      <c r="N56" s="18">
        <f>Test!D366</f>
        <v>0</v>
      </c>
      <c r="O56" s="18">
        <f>Test!E366</f>
        <v>0</v>
      </c>
      <c r="P56" s="18">
        <f>Test!F366</f>
        <v>0</v>
      </c>
      <c r="Q56" s="18">
        <f>Test!G366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>
      <c r="A57" s="16"/>
      <c r="B57" s="16"/>
      <c r="C57" s="16">
        <v>32</v>
      </c>
      <c r="D57" s="17">
        <f>Reference!B367</f>
        <v>0</v>
      </c>
      <c r="E57" s="18">
        <f>Reference!C367</f>
        <v>0</v>
      </c>
      <c r="F57" s="18">
        <f>Reference!D367</f>
        <v>0</v>
      </c>
      <c r="G57" s="18">
        <f>Reference!E367</f>
        <v>0</v>
      </c>
      <c r="H57" s="18">
        <f>Reference!F367</f>
        <v>0</v>
      </c>
      <c r="I57" s="18">
        <f>Reference!G367</f>
        <v>0</v>
      </c>
      <c r="J57" s="19">
        <f t="shared" si="3"/>
        <v>0</v>
      </c>
      <c r="L57" s="17">
        <f>Test!B367</f>
        <v>0</v>
      </c>
      <c r="M57" s="18">
        <f>Test!C367</f>
        <v>0</v>
      </c>
      <c r="N57" s="18">
        <f>Test!D367</f>
        <v>0</v>
      </c>
      <c r="O57" s="18">
        <f>Test!E367</f>
        <v>0</v>
      </c>
      <c r="P57" s="18">
        <f>Test!F367</f>
        <v>0</v>
      </c>
      <c r="Q57" s="18">
        <f>Test!G367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>
      <c r="A58" s="16"/>
      <c r="B58" s="21"/>
      <c r="C58" s="21">
        <v>37</v>
      </c>
      <c r="D58" s="22">
        <f>Reference!B368</f>
        <v>0</v>
      </c>
      <c r="E58" s="23">
        <f>Reference!C368</f>
        <v>0</v>
      </c>
      <c r="F58" s="23">
        <f>Reference!D368</f>
        <v>0</v>
      </c>
      <c r="G58" s="23">
        <f>Reference!E368</f>
        <v>0</v>
      </c>
      <c r="H58" s="23">
        <f>Reference!F368</f>
        <v>0</v>
      </c>
      <c r="I58" s="23">
        <f>Reference!G368</f>
        <v>0</v>
      </c>
      <c r="J58" s="24">
        <f t="shared" si="3"/>
        <v>0</v>
      </c>
      <c r="L58" s="22">
        <f>Test!B368</f>
        <v>0</v>
      </c>
      <c r="M58" s="23">
        <f>Test!C368</f>
        <v>0</v>
      </c>
      <c r="N58" s="23">
        <f>Test!D368</f>
        <v>0</v>
      </c>
      <c r="O58" s="23">
        <f>Test!E368</f>
        <v>0</v>
      </c>
      <c r="P58" s="23">
        <f>Test!F368</f>
        <v>0</v>
      </c>
      <c r="Q58" s="23">
        <f>Test!G368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>
      <c r="A59" s="16"/>
      <c r="B59" s="11" t="s">
        <v>55</v>
      </c>
      <c r="C59" s="11">
        <v>22</v>
      </c>
      <c r="D59" s="12">
        <f>Reference!B369</f>
        <v>0</v>
      </c>
      <c r="E59" s="13">
        <f>Reference!C369</f>
        <v>0</v>
      </c>
      <c r="F59" s="13">
        <f>Reference!D369</f>
        <v>0</v>
      </c>
      <c r="G59" s="13">
        <f>Reference!E369</f>
        <v>0</v>
      </c>
      <c r="H59" s="13">
        <f>Reference!F369</f>
        <v>0</v>
      </c>
      <c r="I59" s="13">
        <f>Reference!G369</f>
        <v>0</v>
      </c>
      <c r="J59" s="14">
        <f t="shared" si="3"/>
        <v>0</v>
      </c>
      <c r="L59" s="12">
        <f>Test!B369</f>
        <v>0</v>
      </c>
      <c r="M59" s="13">
        <f>Test!C369</f>
        <v>0</v>
      </c>
      <c r="N59" s="13">
        <f>Test!D369</f>
        <v>0</v>
      </c>
      <c r="O59" s="13">
        <f>Test!E369</f>
        <v>0</v>
      </c>
      <c r="P59" s="13">
        <f>Test!F369</f>
        <v>0</v>
      </c>
      <c r="Q59" s="13">
        <f>Test!G369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>
      <c r="A60" s="16"/>
      <c r="B60" s="16"/>
      <c r="C60" s="16">
        <v>27</v>
      </c>
      <c r="D60" s="17">
        <f>Reference!B370</f>
        <v>0</v>
      </c>
      <c r="E60" s="18">
        <f>Reference!C370</f>
        <v>0</v>
      </c>
      <c r="F60" s="18">
        <f>Reference!D370</f>
        <v>0</v>
      </c>
      <c r="G60" s="18">
        <f>Reference!E370</f>
        <v>0</v>
      </c>
      <c r="H60" s="18">
        <f>Reference!F370</f>
        <v>0</v>
      </c>
      <c r="I60" s="18">
        <f>Reference!G370</f>
        <v>0</v>
      </c>
      <c r="J60" s="19">
        <f t="shared" si="3"/>
        <v>0</v>
      </c>
      <c r="L60" s="17">
        <f>Test!B370</f>
        <v>0</v>
      </c>
      <c r="M60" s="18">
        <f>Test!C370</f>
        <v>0</v>
      </c>
      <c r="N60" s="18">
        <f>Test!D370</f>
        <v>0</v>
      </c>
      <c r="O60" s="18">
        <f>Test!E370</f>
        <v>0</v>
      </c>
      <c r="P60" s="18">
        <f>Test!F370</f>
        <v>0</v>
      </c>
      <c r="Q60" s="18">
        <f>Test!G370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>
      <c r="A61" s="16"/>
      <c r="B61" s="16"/>
      <c r="C61" s="16">
        <v>32</v>
      </c>
      <c r="D61" s="17">
        <f>Reference!B371</f>
        <v>0</v>
      </c>
      <c r="E61" s="18">
        <f>Reference!C371</f>
        <v>0</v>
      </c>
      <c r="F61" s="18">
        <f>Reference!D371</f>
        <v>0</v>
      </c>
      <c r="G61" s="18">
        <f>Reference!E371</f>
        <v>0</v>
      </c>
      <c r="H61" s="18">
        <f>Reference!F371</f>
        <v>0</v>
      </c>
      <c r="I61" s="18">
        <f>Reference!G371</f>
        <v>0</v>
      </c>
      <c r="J61" s="19">
        <f t="shared" si="3"/>
        <v>0</v>
      </c>
      <c r="L61" s="17">
        <f>Test!B371</f>
        <v>0</v>
      </c>
      <c r="M61" s="18">
        <f>Test!C371</f>
        <v>0</v>
      </c>
      <c r="N61" s="18">
        <f>Test!D371</f>
        <v>0</v>
      </c>
      <c r="O61" s="18">
        <f>Test!E371</f>
        <v>0</v>
      </c>
      <c r="P61" s="18">
        <f>Test!F371</f>
        <v>0</v>
      </c>
      <c r="Q61" s="18">
        <f>Test!G371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>
      <c r="A62" s="21"/>
      <c r="B62" s="21"/>
      <c r="C62" s="21">
        <v>37</v>
      </c>
      <c r="D62" s="22">
        <f>Reference!B372</f>
        <v>0</v>
      </c>
      <c r="E62" s="23">
        <f>Reference!C372</f>
        <v>0</v>
      </c>
      <c r="F62" s="23">
        <f>Reference!D372</f>
        <v>0</v>
      </c>
      <c r="G62" s="23">
        <f>Reference!E372</f>
        <v>0</v>
      </c>
      <c r="H62" s="23">
        <f>Reference!F372</f>
        <v>0</v>
      </c>
      <c r="I62" s="23">
        <f>Reference!G372</f>
        <v>0</v>
      </c>
      <c r="J62" s="24">
        <f t="shared" si="3"/>
        <v>0</v>
      </c>
      <c r="L62" s="22">
        <f>Test!B372</f>
        <v>0</v>
      </c>
      <c r="M62" s="23">
        <f>Test!C372</f>
        <v>0</v>
      </c>
      <c r="N62" s="23">
        <f>Test!D372</f>
        <v>0</v>
      </c>
      <c r="O62" s="23">
        <f>Test!E372</f>
        <v>0</v>
      </c>
      <c r="P62" s="23">
        <f>Test!F372</f>
        <v>0</v>
      </c>
      <c r="Q62" s="23">
        <f>Test!G372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>
      <c r="A63" s="11" t="s">
        <v>6</v>
      </c>
      <c r="B63" s="11" t="s">
        <v>56</v>
      </c>
      <c r="C63" s="11">
        <f>C59</f>
        <v>22</v>
      </c>
      <c r="D63" s="12">
        <f>Reference!B373</f>
        <v>0</v>
      </c>
      <c r="E63" s="13">
        <f>Reference!C373</f>
        <v>0</v>
      </c>
      <c r="F63" s="13">
        <f>Reference!D373</f>
        <v>0</v>
      </c>
      <c r="G63" s="13">
        <f>Reference!E373</f>
        <v>0</v>
      </c>
      <c r="H63" s="13">
        <f>Reference!F373</f>
        <v>0</v>
      </c>
      <c r="I63" s="13">
        <f>Reference!G373</f>
        <v>0</v>
      </c>
      <c r="J63" s="14">
        <f t="shared" si="3"/>
        <v>0</v>
      </c>
      <c r="L63" s="12">
        <f>Test!B373</f>
        <v>0</v>
      </c>
      <c r="M63" s="13">
        <f>Test!C373</f>
        <v>0</v>
      </c>
      <c r="N63" s="13">
        <f>Test!D373</f>
        <v>0</v>
      </c>
      <c r="O63" s="13">
        <f>Test!E373</f>
        <v>0</v>
      </c>
      <c r="P63" s="13">
        <f>Test!F373</f>
        <v>0</v>
      </c>
      <c r="Q63" s="13">
        <f>Test!G373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>
      <c r="A64" s="16" t="s">
        <v>49</v>
      </c>
      <c r="B64" s="16"/>
      <c r="C64" s="16">
        <f>C60</f>
        <v>27</v>
      </c>
      <c r="D64" s="17">
        <f>Reference!B374</f>
        <v>0</v>
      </c>
      <c r="E64" s="18">
        <f>Reference!C374</f>
        <v>0</v>
      </c>
      <c r="F64" s="18">
        <f>Reference!D374</f>
        <v>0</v>
      </c>
      <c r="G64" s="18">
        <f>Reference!E374</f>
        <v>0</v>
      </c>
      <c r="H64" s="18">
        <f>Reference!F374</f>
        <v>0</v>
      </c>
      <c r="I64" s="18">
        <f>Reference!G374</f>
        <v>0</v>
      </c>
      <c r="J64" s="19">
        <f t="shared" si="3"/>
        <v>0</v>
      </c>
      <c r="L64" s="17">
        <f>Test!B374</f>
        <v>0</v>
      </c>
      <c r="M64" s="18">
        <f>Test!C374</f>
        <v>0</v>
      </c>
      <c r="N64" s="18">
        <f>Test!D374</f>
        <v>0</v>
      </c>
      <c r="O64" s="18">
        <f>Test!E374</f>
        <v>0</v>
      </c>
      <c r="P64" s="18">
        <f>Test!F374</f>
        <v>0</v>
      </c>
      <c r="Q64" s="18">
        <f>Test!G374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>
      <c r="A65" s="16"/>
      <c r="B65" s="16"/>
      <c r="C65" s="16">
        <f>C61</f>
        <v>32</v>
      </c>
      <c r="D65" s="17">
        <f>Reference!B375</f>
        <v>0</v>
      </c>
      <c r="E65" s="18">
        <f>Reference!C375</f>
        <v>0</v>
      </c>
      <c r="F65" s="18">
        <f>Reference!D375</f>
        <v>0</v>
      </c>
      <c r="G65" s="18">
        <f>Reference!E375</f>
        <v>0</v>
      </c>
      <c r="H65" s="18">
        <f>Reference!F375</f>
        <v>0</v>
      </c>
      <c r="I65" s="18">
        <f>Reference!G375</f>
        <v>0</v>
      </c>
      <c r="J65" s="19">
        <f t="shared" si="3"/>
        <v>0</v>
      </c>
      <c r="L65" s="17">
        <f>Test!B375</f>
        <v>0</v>
      </c>
      <c r="M65" s="18">
        <f>Test!C375</f>
        <v>0</v>
      </c>
      <c r="N65" s="18">
        <f>Test!D375</f>
        <v>0</v>
      </c>
      <c r="O65" s="18">
        <f>Test!E375</f>
        <v>0</v>
      </c>
      <c r="P65" s="18">
        <f>Test!F375</f>
        <v>0</v>
      </c>
      <c r="Q65" s="18">
        <f>Test!G375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>
      <c r="A66" s="16"/>
      <c r="B66" s="21"/>
      <c r="C66" s="21">
        <f>C62</f>
        <v>37</v>
      </c>
      <c r="D66" s="22">
        <f>Reference!B376</f>
        <v>0</v>
      </c>
      <c r="E66" s="23">
        <f>Reference!C376</f>
        <v>0</v>
      </c>
      <c r="F66" s="23">
        <f>Reference!D376</f>
        <v>0</v>
      </c>
      <c r="G66" s="23">
        <f>Reference!E376</f>
        <v>0</v>
      </c>
      <c r="H66" s="23">
        <f>Reference!F376</f>
        <v>0</v>
      </c>
      <c r="I66" s="23">
        <f>Reference!G376</f>
        <v>0</v>
      </c>
      <c r="J66" s="24">
        <f t="shared" si="3"/>
        <v>0</v>
      </c>
      <c r="L66" s="22">
        <f>Test!B376</f>
        <v>0</v>
      </c>
      <c r="M66" s="23">
        <f>Test!C376</f>
        <v>0</v>
      </c>
      <c r="N66" s="23">
        <f>Test!D376</f>
        <v>0</v>
      </c>
      <c r="O66" s="23">
        <f>Test!E376</f>
        <v>0</v>
      </c>
      <c r="P66" s="23">
        <f>Test!F376</f>
        <v>0</v>
      </c>
      <c r="Q66" s="23">
        <f>Test!G376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>
      <c r="A67" s="16"/>
      <c r="B67" s="11" t="s">
        <v>57</v>
      </c>
      <c r="C67" s="11">
        <v>22</v>
      </c>
      <c r="D67" s="12">
        <f>Reference!B377</f>
        <v>0</v>
      </c>
      <c r="E67" s="13">
        <f>Reference!C377</f>
        <v>0</v>
      </c>
      <c r="F67" s="13">
        <f>Reference!D377</f>
        <v>0</v>
      </c>
      <c r="G67" s="13">
        <f>Reference!E377</f>
        <v>0</v>
      </c>
      <c r="H67" s="13">
        <f>Reference!F377</f>
        <v>0</v>
      </c>
      <c r="I67" s="13">
        <f>Reference!G377</f>
        <v>0</v>
      </c>
      <c r="J67" s="14">
        <f t="shared" si="3"/>
        <v>0</v>
      </c>
      <c r="L67" s="12">
        <f>Test!B377</f>
        <v>0</v>
      </c>
      <c r="M67" s="13">
        <f>Test!C377</f>
        <v>0</v>
      </c>
      <c r="N67" s="13">
        <f>Test!D377</f>
        <v>0</v>
      </c>
      <c r="O67" s="13">
        <f>Test!E377</f>
        <v>0</v>
      </c>
      <c r="P67" s="13">
        <f>Test!F377</f>
        <v>0</v>
      </c>
      <c r="Q67" s="13">
        <f>Test!G377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>
      <c r="A68" s="16"/>
      <c r="B68" s="16"/>
      <c r="C68" s="16">
        <v>27</v>
      </c>
      <c r="D68" s="17">
        <f>Reference!B378</f>
        <v>0</v>
      </c>
      <c r="E68" s="18">
        <f>Reference!C378</f>
        <v>0</v>
      </c>
      <c r="F68" s="18">
        <f>Reference!D378</f>
        <v>0</v>
      </c>
      <c r="G68" s="18">
        <f>Reference!E378</f>
        <v>0</v>
      </c>
      <c r="H68" s="18">
        <f>Reference!F378</f>
        <v>0</v>
      </c>
      <c r="I68" s="18">
        <f>Reference!G378</f>
        <v>0</v>
      </c>
      <c r="J68" s="19">
        <f t="shared" si="3"/>
        <v>0</v>
      </c>
      <c r="L68" s="17">
        <f>Test!B378</f>
        <v>0</v>
      </c>
      <c r="M68" s="18">
        <f>Test!C378</f>
        <v>0</v>
      </c>
      <c r="N68" s="18">
        <f>Test!D378</f>
        <v>0</v>
      </c>
      <c r="O68" s="18">
        <f>Test!E378</f>
        <v>0</v>
      </c>
      <c r="P68" s="18">
        <f>Test!F378</f>
        <v>0</v>
      </c>
      <c r="Q68" s="18">
        <f>Test!G378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>
      <c r="A69" s="16"/>
      <c r="B69" s="16"/>
      <c r="C69" s="16">
        <v>32</v>
      </c>
      <c r="D69" s="17">
        <f>Reference!B379</f>
        <v>0</v>
      </c>
      <c r="E69" s="18">
        <f>Reference!C379</f>
        <v>0</v>
      </c>
      <c r="F69" s="18">
        <f>Reference!D379</f>
        <v>0</v>
      </c>
      <c r="G69" s="18">
        <f>Reference!E379</f>
        <v>0</v>
      </c>
      <c r="H69" s="18">
        <f>Reference!F379</f>
        <v>0</v>
      </c>
      <c r="I69" s="18">
        <f>Reference!G379</f>
        <v>0</v>
      </c>
      <c r="J69" s="19">
        <f t="shared" si="3"/>
        <v>0</v>
      </c>
      <c r="L69" s="17">
        <f>Test!B379</f>
        <v>0</v>
      </c>
      <c r="M69" s="18">
        <f>Test!C379</f>
        <v>0</v>
      </c>
      <c r="N69" s="18">
        <f>Test!D379</f>
        <v>0</v>
      </c>
      <c r="O69" s="18">
        <f>Test!E379</f>
        <v>0</v>
      </c>
      <c r="P69" s="18">
        <f>Test!F379</f>
        <v>0</v>
      </c>
      <c r="Q69" s="18">
        <f>Test!G379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>
      <c r="A70" s="16"/>
      <c r="B70" s="21"/>
      <c r="C70" s="21">
        <v>37</v>
      </c>
      <c r="D70" s="22">
        <f>Reference!B380</f>
        <v>0</v>
      </c>
      <c r="E70" s="23">
        <f>Reference!C380</f>
        <v>0</v>
      </c>
      <c r="F70" s="23">
        <f>Reference!D380</f>
        <v>0</v>
      </c>
      <c r="G70" s="23">
        <f>Reference!E380</f>
        <v>0</v>
      </c>
      <c r="H70" s="23">
        <f>Reference!F380</f>
        <v>0</v>
      </c>
      <c r="I70" s="23">
        <f>Reference!G380</f>
        <v>0</v>
      </c>
      <c r="J70" s="24">
        <f t="shared" si="3"/>
        <v>0</v>
      </c>
      <c r="L70" s="22">
        <f>Test!B380</f>
        <v>0</v>
      </c>
      <c r="M70" s="23">
        <f>Test!C380</f>
        <v>0</v>
      </c>
      <c r="N70" s="23">
        <f>Test!D380</f>
        <v>0</v>
      </c>
      <c r="O70" s="23">
        <f>Test!E380</f>
        <v>0</v>
      </c>
      <c r="P70" s="23">
        <f>Test!F380</f>
        <v>0</v>
      </c>
      <c r="Q70" s="23">
        <f>Test!G380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>
      <c r="A71" s="16"/>
      <c r="B71" s="11" t="s">
        <v>58</v>
      </c>
      <c r="C71" s="11">
        <v>22</v>
      </c>
      <c r="D71" s="12">
        <f>Reference!B381</f>
        <v>0</v>
      </c>
      <c r="E71" s="13">
        <f>Reference!C381</f>
        <v>0</v>
      </c>
      <c r="F71" s="13">
        <f>Reference!D381</f>
        <v>0</v>
      </c>
      <c r="G71" s="13">
        <f>Reference!E381</f>
        <v>0</v>
      </c>
      <c r="H71" s="13">
        <f>Reference!F381</f>
        <v>0</v>
      </c>
      <c r="I71" s="13">
        <f>Reference!G381</f>
        <v>0</v>
      </c>
      <c r="J71" s="14">
        <f t="shared" si="3"/>
        <v>0</v>
      </c>
      <c r="L71" s="12">
        <f>Test!B381</f>
        <v>0</v>
      </c>
      <c r="M71" s="13">
        <f>Test!C381</f>
        <v>0</v>
      </c>
      <c r="N71" s="13">
        <f>Test!D381</f>
        <v>0</v>
      </c>
      <c r="O71" s="13">
        <f>Test!E381</f>
        <v>0</v>
      </c>
      <c r="P71" s="13">
        <f>Test!F381</f>
        <v>0</v>
      </c>
      <c r="Q71" s="13">
        <f>Test!G381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>
      <c r="A72" s="16"/>
      <c r="B72" s="16"/>
      <c r="C72" s="16">
        <v>27</v>
      </c>
      <c r="D72" s="17">
        <f>Reference!B382</f>
        <v>0</v>
      </c>
      <c r="E72" s="18">
        <f>Reference!C382</f>
        <v>0</v>
      </c>
      <c r="F72" s="18">
        <f>Reference!D382</f>
        <v>0</v>
      </c>
      <c r="G72" s="18">
        <f>Reference!E382</f>
        <v>0</v>
      </c>
      <c r="H72" s="18">
        <f>Reference!F382</f>
        <v>0</v>
      </c>
      <c r="I72" s="18">
        <f>Reference!G382</f>
        <v>0</v>
      </c>
      <c r="J72" s="19">
        <f t="shared" si="3"/>
        <v>0</v>
      </c>
      <c r="L72" s="17">
        <f>Test!B382</f>
        <v>0</v>
      </c>
      <c r="M72" s="18">
        <f>Test!C382</f>
        <v>0</v>
      </c>
      <c r="N72" s="18">
        <f>Test!D382</f>
        <v>0</v>
      </c>
      <c r="O72" s="18">
        <f>Test!E382</f>
        <v>0</v>
      </c>
      <c r="P72" s="18">
        <f>Test!F382</f>
        <v>0</v>
      </c>
      <c r="Q72" s="18">
        <f>Test!G382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>
      <c r="A73" s="16"/>
      <c r="B73" s="16"/>
      <c r="C73" s="16">
        <v>32</v>
      </c>
      <c r="D73" s="17">
        <f>Reference!B383</f>
        <v>0</v>
      </c>
      <c r="E73" s="18">
        <f>Reference!C383</f>
        <v>0</v>
      </c>
      <c r="F73" s="18">
        <f>Reference!D383</f>
        <v>0</v>
      </c>
      <c r="G73" s="18">
        <f>Reference!E383</f>
        <v>0</v>
      </c>
      <c r="H73" s="18">
        <f>Reference!F383</f>
        <v>0</v>
      </c>
      <c r="I73" s="18">
        <f>Reference!G383</f>
        <v>0</v>
      </c>
      <c r="J73" s="19">
        <f t="shared" si="3"/>
        <v>0</v>
      </c>
      <c r="L73" s="17">
        <f>Test!B383</f>
        <v>0</v>
      </c>
      <c r="M73" s="18">
        <f>Test!C383</f>
        <v>0</v>
      </c>
      <c r="N73" s="18">
        <f>Test!D383</f>
        <v>0</v>
      </c>
      <c r="O73" s="18">
        <f>Test!E383</f>
        <v>0</v>
      </c>
      <c r="P73" s="18">
        <f>Test!F383</f>
        <v>0</v>
      </c>
      <c r="Q73" s="18">
        <f>Test!G383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>
      <c r="A74" s="16"/>
      <c r="B74" s="21"/>
      <c r="C74" s="21">
        <v>37</v>
      </c>
      <c r="D74" s="22">
        <f>Reference!B384</f>
        <v>0</v>
      </c>
      <c r="E74" s="23">
        <f>Reference!C384</f>
        <v>0</v>
      </c>
      <c r="F74" s="23">
        <f>Reference!D384</f>
        <v>0</v>
      </c>
      <c r="G74" s="23">
        <f>Reference!E384</f>
        <v>0</v>
      </c>
      <c r="H74" s="23">
        <f>Reference!F384</f>
        <v>0</v>
      </c>
      <c r="I74" s="23">
        <f>Reference!G384</f>
        <v>0</v>
      </c>
      <c r="J74" s="24">
        <f t="shared" si="3"/>
        <v>0</v>
      </c>
      <c r="L74" s="22">
        <f>Test!B384</f>
        <v>0</v>
      </c>
      <c r="M74" s="23">
        <f>Test!C384</f>
        <v>0</v>
      </c>
      <c r="N74" s="23">
        <f>Test!D384</f>
        <v>0</v>
      </c>
      <c r="O74" s="23">
        <f>Test!E384</f>
        <v>0</v>
      </c>
      <c r="P74" s="23">
        <f>Test!F384</f>
        <v>0</v>
      </c>
      <c r="Q74" s="23">
        <f>Test!G384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>
      <c r="A75" s="16"/>
      <c r="B75" s="11" t="s">
        <v>55</v>
      </c>
      <c r="C75" s="11">
        <v>22</v>
      </c>
      <c r="D75" s="12">
        <f>Reference!B385</f>
        <v>0</v>
      </c>
      <c r="E75" s="13">
        <f>Reference!C385</f>
        <v>0</v>
      </c>
      <c r="F75" s="13">
        <f>Reference!D385</f>
        <v>0</v>
      </c>
      <c r="G75" s="13">
        <f>Reference!E385</f>
        <v>0</v>
      </c>
      <c r="H75" s="13">
        <f>Reference!F385</f>
        <v>0</v>
      </c>
      <c r="I75" s="13">
        <f>Reference!G385</f>
        <v>0</v>
      </c>
      <c r="J75" s="14">
        <f t="shared" si="3"/>
        <v>0</v>
      </c>
      <c r="L75" s="12">
        <f>Test!B385</f>
        <v>0</v>
      </c>
      <c r="M75" s="13">
        <f>Test!C385</f>
        <v>0</v>
      </c>
      <c r="N75" s="13">
        <f>Test!D385</f>
        <v>0</v>
      </c>
      <c r="O75" s="13">
        <f>Test!E385</f>
        <v>0</v>
      </c>
      <c r="P75" s="13">
        <f>Test!F385</f>
        <v>0</v>
      </c>
      <c r="Q75" s="13">
        <f>Test!G385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>
      <c r="A76" s="16"/>
      <c r="B76" s="16"/>
      <c r="C76" s="16">
        <v>27</v>
      </c>
      <c r="D76" s="17">
        <f>Reference!B386</f>
        <v>0</v>
      </c>
      <c r="E76" s="18">
        <f>Reference!C386</f>
        <v>0</v>
      </c>
      <c r="F76" s="18">
        <f>Reference!D386</f>
        <v>0</v>
      </c>
      <c r="G76" s="18">
        <f>Reference!E386</f>
        <v>0</v>
      </c>
      <c r="H76" s="18">
        <f>Reference!F386</f>
        <v>0</v>
      </c>
      <c r="I76" s="18">
        <f>Reference!G386</f>
        <v>0</v>
      </c>
      <c r="J76" s="19">
        <f t="shared" si="3"/>
        <v>0</v>
      </c>
      <c r="L76" s="17">
        <f>Test!B386</f>
        <v>0</v>
      </c>
      <c r="M76" s="18">
        <f>Test!C386</f>
        <v>0</v>
      </c>
      <c r="N76" s="18">
        <f>Test!D386</f>
        <v>0</v>
      </c>
      <c r="O76" s="18">
        <f>Test!E386</f>
        <v>0</v>
      </c>
      <c r="P76" s="18">
        <f>Test!F386</f>
        <v>0</v>
      </c>
      <c r="Q76" s="18">
        <f>Test!G386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>
      <c r="A77" s="16"/>
      <c r="B77" s="16"/>
      <c r="C77" s="16">
        <v>32</v>
      </c>
      <c r="D77" s="17">
        <f>Reference!B387</f>
        <v>0</v>
      </c>
      <c r="E77" s="18">
        <f>Reference!C387</f>
        <v>0</v>
      </c>
      <c r="F77" s="18">
        <f>Reference!D387</f>
        <v>0</v>
      </c>
      <c r="G77" s="18">
        <f>Reference!E387</f>
        <v>0</v>
      </c>
      <c r="H77" s="18">
        <f>Reference!F387</f>
        <v>0</v>
      </c>
      <c r="I77" s="18">
        <f>Reference!G387</f>
        <v>0</v>
      </c>
      <c r="J77" s="19">
        <f t="shared" si="3"/>
        <v>0</v>
      </c>
      <c r="L77" s="17">
        <f>Test!B387</f>
        <v>0</v>
      </c>
      <c r="M77" s="18">
        <f>Test!C387</f>
        <v>0</v>
      </c>
      <c r="N77" s="18">
        <f>Test!D387</f>
        <v>0</v>
      </c>
      <c r="O77" s="18">
        <f>Test!E387</f>
        <v>0</v>
      </c>
      <c r="P77" s="18">
        <f>Test!F387</f>
        <v>0</v>
      </c>
      <c r="Q77" s="18">
        <f>Test!G387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>
      <c r="A78" s="21"/>
      <c r="B78" s="21"/>
      <c r="C78" s="21">
        <v>37</v>
      </c>
      <c r="D78" s="22">
        <f>Reference!B388</f>
        <v>0</v>
      </c>
      <c r="E78" s="23">
        <f>Reference!C388</f>
        <v>0</v>
      </c>
      <c r="F78" s="23">
        <f>Reference!D388</f>
        <v>0</v>
      </c>
      <c r="G78" s="23">
        <f>Reference!E388</f>
        <v>0</v>
      </c>
      <c r="H78" s="23">
        <f>Reference!F388</f>
        <v>0</v>
      </c>
      <c r="I78" s="23">
        <f>Reference!G388</f>
        <v>0</v>
      </c>
      <c r="J78" s="24">
        <f t="shared" si="3"/>
        <v>0</v>
      </c>
      <c r="L78" s="22">
        <f>Test!B388</f>
        <v>0</v>
      </c>
      <c r="M78" s="23">
        <f>Test!C388</f>
        <v>0</v>
      </c>
      <c r="N78" s="23">
        <f>Test!D388</f>
        <v>0</v>
      </c>
      <c r="O78" s="23">
        <f>Test!E388</f>
        <v>0</v>
      </c>
      <c r="P78" s="23">
        <f>Test!F388</f>
        <v>0</v>
      </c>
      <c r="Q78" s="23">
        <f>Test!G388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>
      <c r="A79" s="11" t="s">
        <v>50</v>
      </c>
      <c r="B79" s="11" t="s">
        <v>59</v>
      </c>
      <c r="C79" s="11">
        <v>22</v>
      </c>
      <c r="D79" s="12">
        <f>Reference!B389</f>
        <v>0</v>
      </c>
      <c r="E79" s="13">
        <f>Reference!C389</f>
        <v>0</v>
      </c>
      <c r="F79" s="13">
        <f>Reference!D389</f>
        <v>0</v>
      </c>
      <c r="G79" s="13">
        <f>Reference!E389</f>
        <v>0</v>
      </c>
      <c r="H79" s="13">
        <f>Reference!F389</f>
        <v>0</v>
      </c>
      <c r="I79" s="13">
        <f>Reference!G389</f>
        <v>0</v>
      </c>
      <c r="J79" s="14">
        <f t="shared" si="3"/>
        <v>0</v>
      </c>
      <c r="L79" s="12">
        <f>Test!B389</f>
        <v>0</v>
      </c>
      <c r="M79" s="13">
        <f>Test!C389</f>
        <v>0</v>
      </c>
      <c r="N79" s="13">
        <f>Test!D389</f>
        <v>0</v>
      </c>
      <c r="O79" s="13">
        <f>Test!E389</f>
        <v>0</v>
      </c>
      <c r="P79" s="13">
        <f>Test!F389</f>
        <v>0</v>
      </c>
      <c r="Q79" s="13">
        <f>Test!G389</f>
        <v>0</v>
      </c>
      <c r="R79" s="14">
        <f t="shared" si="1"/>
        <v>0</v>
      </c>
      <c r="S79" s="13" t="e">
        <f t="shared" si="5"/>
        <v>#DIV/0!</v>
      </c>
      <c r="T79" s="13" t="e">
        <f t="shared" si="5"/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>
      <c r="A80" s="16" t="s">
        <v>51</v>
      </c>
      <c r="B80" s="16"/>
      <c r="C80" s="16">
        <v>27</v>
      </c>
      <c r="D80" s="17">
        <f>Reference!B390</f>
        <v>0</v>
      </c>
      <c r="E80" s="18">
        <f>Reference!C390</f>
        <v>0</v>
      </c>
      <c r="F80" s="18">
        <f>Reference!D390</f>
        <v>0</v>
      </c>
      <c r="G80" s="18">
        <f>Reference!E390</f>
        <v>0</v>
      </c>
      <c r="H80" s="18">
        <f>Reference!F390</f>
        <v>0</v>
      </c>
      <c r="I80" s="18">
        <f>Reference!G390</f>
        <v>0</v>
      </c>
      <c r="J80" s="19">
        <f t="shared" si="3"/>
        <v>0</v>
      </c>
      <c r="L80" s="17">
        <f>Test!B390</f>
        <v>0</v>
      </c>
      <c r="M80" s="18">
        <f>Test!C390</f>
        <v>0</v>
      </c>
      <c r="N80" s="18">
        <f>Test!D390</f>
        <v>0</v>
      </c>
      <c r="O80" s="18">
        <f>Test!E390</f>
        <v>0</v>
      </c>
      <c r="P80" s="18">
        <f>Test!F390</f>
        <v>0</v>
      </c>
      <c r="Q80" s="18">
        <f>Test!G390</f>
        <v>0</v>
      </c>
      <c r="R80" s="19">
        <f t="shared" ref="R80:R106" si="6">P80/3600</f>
        <v>0</v>
      </c>
      <c r="S80" s="18" t="e">
        <f t="shared" si="5"/>
        <v>#DIV/0!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>
      <c r="A81" s="16"/>
      <c r="B81" s="16"/>
      <c r="C81" s="16">
        <v>32</v>
      </c>
      <c r="D81" s="17">
        <f>Reference!B391</f>
        <v>0</v>
      </c>
      <c r="E81" s="18">
        <f>Reference!C391</f>
        <v>0</v>
      </c>
      <c r="F81" s="18">
        <f>Reference!D391</f>
        <v>0</v>
      </c>
      <c r="G81" s="18">
        <f>Reference!E391</f>
        <v>0</v>
      </c>
      <c r="H81" s="18">
        <f>Reference!F391</f>
        <v>0</v>
      </c>
      <c r="I81" s="18">
        <f>Reference!G391</f>
        <v>0</v>
      </c>
      <c r="J81" s="19">
        <f t="shared" si="3"/>
        <v>0</v>
      </c>
      <c r="L81" s="17">
        <f>Test!B391</f>
        <v>0</v>
      </c>
      <c r="M81" s="18">
        <f>Test!C391</f>
        <v>0</v>
      </c>
      <c r="N81" s="18">
        <f>Test!D391</f>
        <v>0</v>
      </c>
      <c r="O81" s="18">
        <f>Test!E391</f>
        <v>0</v>
      </c>
      <c r="P81" s="18">
        <f>Test!F391</f>
        <v>0</v>
      </c>
      <c r="Q81" s="18">
        <f>Test!G391</f>
        <v>0</v>
      </c>
      <c r="R81" s="19">
        <f t="shared" si="6"/>
        <v>0</v>
      </c>
      <c r="S81" s="18" t="e">
        <f t="shared" si="5"/>
        <v>#DIV/0!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>
      <c r="A82" s="16"/>
      <c r="B82" s="21"/>
      <c r="C82" s="21">
        <v>37</v>
      </c>
      <c r="D82" s="22">
        <f>Reference!B392</f>
        <v>0</v>
      </c>
      <c r="E82" s="23">
        <f>Reference!C392</f>
        <v>0</v>
      </c>
      <c r="F82" s="23">
        <f>Reference!D392</f>
        <v>0</v>
      </c>
      <c r="G82" s="23">
        <f>Reference!E392</f>
        <v>0</v>
      </c>
      <c r="H82" s="23">
        <f>Reference!F392</f>
        <v>0</v>
      </c>
      <c r="I82" s="23">
        <f>Reference!G392</f>
        <v>0</v>
      </c>
      <c r="J82" s="24">
        <f t="shared" si="3"/>
        <v>0</v>
      </c>
      <c r="L82" s="22">
        <f>Test!B392</f>
        <v>0</v>
      </c>
      <c r="M82" s="23">
        <f>Test!C392</f>
        <v>0</v>
      </c>
      <c r="N82" s="23">
        <f>Test!D392</f>
        <v>0</v>
      </c>
      <c r="O82" s="23">
        <f>Test!E392</f>
        <v>0</v>
      </c>
      <c r="P82" s="23">
        <f>Test!F392</f>
        <v>0</v>
      </c>
      <c r="Q82" s="23">
        <f>Test!G392</f>
        <v>0</v>
      </c>
      <c r="R82" s="24">
        <f t="shared" si="6"/>
        <v>0</v>
      </c>
      <c r="S82" s="18" t="e">
        <f t="shared" si="5"/>
        <v>#DIV/0!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>
      <c r="A83" s="16"/>
      <c r="B83" s="11" t="s">
        <v>60</v>
      </c>
      <c r="C83" s="11">
        <v>22</v>
      </c>
      <c r="D83" s="12">
        <f>Reference!B393</f>
        <v>0</v>
      </c>
      <c r="E83" s="13">
        <f>Reference!C393</f>
        <v>0</v>
      </c>
      <c r="F83" s="13">
        <f>Reference!D393</f>
        <v>0</v>
      </c>
      <c r="G83" s="13">
        <f>Reference!E393</f>
        <v>0</v>
      </c>
      <c r="H83" s="13">
        <f>Reference!F393</f>
        <v>0</v>
      </c>
      <c r="I83" s="13">
        <f>Reference!G393</f>
        <v>0</v>
      </c>
      <c r="J83" s="14">
        <f t="shared" si="3"/>
        <v>0</v>
      </c>
      <c r="L83" s="12">
        <f>Test!B393</f>
        <v>0</v>
      </c>
      <c r="M83" s="13">
        <f>Test!C393</f>
        <v>0</v>
      </c>
      <c r="N83" s="13">
        <f>Test!D393</f>
        <v>0</v>
      </c>
      <c r="O83" s="13">
        <f>Test!E393</f>
        <v>0</v>
      </c>
      <c r="P83" s="13">
        <f>Test!F393</f>
        <v>0</v>
      </c>
      <c r="Q83" s="13">
        <f>Test!G393</f>
        <v>0</v>
      </c>
      <c r="R83" s="14">
        <f t="shared" si="6"/>
        <v>0</v>
      </c>
      <c r="S83" s="18" t="e">
        <f t="shared" si="5"/>
        <v>#DIV/0!</v>
      </c>
      <c r="T83" s="18" t="e">
        <f t="shared" si="5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>
      <c r="A84" s="16"/>
      <c r="B84" s="16"/>
      <c r="C84" s="16">
        <v>27</v>
      </c>
      <c r="D84" s="17">
        <f>Reference!B394</f>
        <v>0</v>
      </c>
      <c r="E84" s="18">
        <f>Reference!C394</f>
        <v>0</v>
      </c>
      <c r="F84" s="18">
        <f>Reference!D394</f>
        <v>0</v>
      </c>
      <c r="G84" s="18">
        <f>Reference!E394</f>
        <v>0</v>
      </c>
      <c r="H84" s="18">
        <f>Reference!F394</f>
        <v>0</v>
      </c>
      <c r="I84" s="18">
        <f>Reference!G394</f>
        <v>0</v>
      </c>
      <c r="J84" s="19">
        <f t="shared" si="3"/>
        <v>0</v>
      </c>
      <c r="L84" s="17">
        <f>Test!B394</f>
        <v>0</v>
      </c>
      <c r="M84" s="18">
        <f>Test!C394</f>
        <v>0</v>
      </c>
      <c r="N84" s="18">
        <f>Test!D394</f>
        <v>0</v>
      </c>
      <c r="O84" s="18">
        <f>Test!E394</f>
        <v>0</v>
      </c>
      <c r="P84" s="18">
        <f>Test!F394</f>
        <v>0</v>
      </c>
      <c r="Q84" s="18">
        <f>Test!G394</f>
        <v>0</v>
      </c>
      <c r="R84" s="19">
        <f t="shared" si="6"/>
        <v>0</v>
      </c>
      <c r="S84" s="18" t="e">
        <f t="shared" si="5"/>
        <v>#DIV/0!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>
      <c r="A85" s="16"/>
      <c r="B85" s="16"/>
      <c r="C85" s="16">
        <v>32</v>
      </c>
      <c r="D85" s="17">
        <f>Reference!B395</f>
        <v>0</v>
      </c>
      <c r="E85" s="18">
        <f>Reference!C395</f>
        <v>0</v>
      </c>
      <c r="F85" s="18">
        <f>Reference!D395</f>
        <v>0</v>
      </c>
      <c r="G85" s="18">
        <f>Reference!E395</f>
        <v>0</v>
      </c>
      <c r="H85" s="18">
        <f>Reference!F395</f>
        <v>0</v>
      </c>
      <c r="I85" s="18">
        <f>Reference!G395</f>
        <v>0</v>
      </c>
      <c r="J85" s="19">
        <f t="shared" si="3"/>
        <v>0</v>
      </c>
      <c r="L85" s="17">
        <f>Test!B395</f>
        <v>0</v>
      </c>
      <c r="M85" s="18">
        <f>Test!C395</f>
        <v>0</v>
      </c>
      <c r="N85" s="18">
        <f>Test!D395</f>
        <v>0</v>
      </c>
      <c r="O85" s="18">
        <f>Test!E395</f>
        <v>0</v>
      </c>
      <c r="P85" s="18">
        <f>Test!F395</f>
        <v>0</v>
      </c>
      <c r="Q85" s="18">
        <f>Test!G395</f>
        <v>0</v>
      </c>
      <c r="R85" s="19">
        <f t="shared" si="6"/>
        <v>0</v>
      </c>
      <c r="S85" s="18" t="e">
        <f t="shared" si="5"/>
        <v>#DIV/0!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>
      <c r="A86" s="16"/>
      <c r="B86" s="21"/>
      <c r="C86" s="21">
        <v>37</v>
      </c>
      <c r="D86" s="22">
        <f>Reference!B396</f>
        <v>0</v>
      </c>
      <c r="E86" s="23">
        <f>Reference!C396</f>
        <v>0</v>
      </c>
      <c r="F86" s="23">
        <f>Reference!D396</f>
        <v>0</v>
      </c>
      <c r="G86" s="23">
        <f>Reference!E396</f>
        <v>0</v>
      </c>
      <c r="H86" s="23">
        <f>Reference!F396</f>
        <v>0</v>
      </c>
      <c r="I86" s="23">
        <f>Reference!G396</f>
        <v>0</v>
      </c>
      <c r="J86" s="24">
        <f t="shared" si="3"/>
        <v>0</v>
      </c>
      <c r="L86" s="22">
        <f>Test!B396</f>
        <v>0</v>
      </c>
      <c r="M86" s="23">
        <f>Test!C396</f>
        <v>0</v>
      </c>
      <c r="N86" s="23">
        <f>Test!D396</f>
        <v>0</v>
      </c>
      <c r="O86" s="23">
        <f>Test!E396</f>
        <v>0</v>
      </c>
      <c r="P86" s="23">
        <f>Test!F396</f>
        <v>0</v>
      </c>
      <c r="Q86" s="23">
        <f>Test!G396</f>
        <v>0</v>
      </c>
      <c r="R86" s="24">
        <f t="shared" si="6"/>
        <v>0</v>
      </c>
      <c r="S86" s="18" t="e">
        <f t="shared" si="5"/>
        <v>#DIV/0!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>
      <c r="A87" s="16"/>
      <c r="B87" s="11" t="s">
        <v>61</v>
      </c>
      <c r="C87" s="11">
        <v>22</v>
      </c>
      <c r="D87" s="12">
        <f>Reference!B397</f>
        <v>0</v>
      </c>
      <c r="E87" s="13">
        <f>Reference!C397</f>
        <v>0</v>
      </c>
      <c r="F87" s="13">
        <f>Reference!D397</f>
        <v>0</v>
      </c>
      <c r="G87" s="13">
        <f>Reference!E397</f>
        <v>0</v>
      </c>
      <c r="H87" s="13">
        <f>Reference!F397</f>
        <v>0</v>
      </c>
      <c r="I87" s="13">
        <f>Reference!G397</f>
        <v>0</v>
      </c>
      <c r="J87" s="14">
        <f t="shared" si="3"/>
        <v>0</v>
      </c>
      <c r="L87" s="12">
        <f>Test!B397</f>
        <v>0</v>
      </c>
      <c r="M87" s="13">
        <f>Test!C397</f>
        <v>0</v>
      </c>
      <c r="N87" s="13">
        <f>Test!D397</f>
        <v>0</v>
      </c>
      <c r="O87" s="13">
        <f>Test!E397</f>
        <v>0</v>
      </c>
      <c r="P87" s="13">
        <f>Test!F397</f>
        <v>0</v>
      </c>
      <c r="Q87" s="13">
        <f>Test!G397</f>
        <v>0</v>
      </c>
      <c r="R87" s="14">
        <f t="shared" si="6"/>
        <v>0</v>
      </c>
      <c r="S87" s="18" t="e">
        <f t="shared" ref="S87:T106" si="7">P87/H87</f>
        <v>#DIV/0!</v>
      </c>
      <c r="T87" s="18" t="e">
        <f t="shared" si="7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>
      <c r="A88" s="16"/>
      <c r="B88" s="16"/>
      <c r="C88" s="16">
        <v>27</v>
      </c>
      <c r="D88" s="17">
        <f>Reference!B398</f>
        <v>0</v>
      </c>
      <c r="E88" s="18">
        <f>Reference!C398</f>
        <v>0</v>
      </c>
      <c r="F88" s="18">
        <f>Reference!D398</f>
        <v>0</v>
      </c>
      <c r="G88" s="18">
        <f>Reference!E398</f>
        <v>0</v>
      </c>
      <c r="H88" s="18">
        <f>Reference!F398</f>
        <v>0</v>
      </c>
      <c r="I88" s="18">
        <f>Reference!G398</f>
        <v>0</v>
      </c>
      <c r="J88" s="19">
        <f t="shared" si="3"/>
        <v>0</v>
      </c>
      <c r="L88" s="17">
        <f>Test!B398</f>
        <v>0</v>
      </c>
      <c r="M88" s="18">
        <f>Test!C398</f>
        <v>0</v>
      </c>
      <c r="N88" s="18">
        <f>Test!D398</f>
        <v>0</v>
      </c>
      <c r="O88" s="18">
        <f>Test!E398</f>
        <v>0</v>
      </c>
      <c r="P88" s="18">
        <f>Test!F398</f>
        <v>0</v>
      </c>
      <c r="Q88" s="18">
        <f>Test!G398</f>
        <v>0</v>
      </c>
      <c r="R88" s="19">
        <f t="shared" si="6"/>
        <v>0</v>
      </c>
      <c r="S88" s="18" t="e">
        <f t="shared" si="7"/>
        <v>#DIV/0!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>
      <c r="A89" s="16"/>
      <c r="B89" s="16"/>
      <c r="C89" s="16">
        <v>32</v>
      </c>
      <c r="D89" s="17">
        <f>Reference!B399</f>
        <v>0</v>
      </c>
      <c r="E89" s="18">
        <f>Reference!C399</f>
        <v>0</v>
      </c>
      <c r="F89" s="18">
        <f>Reference!D399</f>
        <v>0</v>
      </c>
      <c r="G89" s="18">
        <f>Reference!E399</f>
        <v>0</v>
      </c>
      <c r="H89" s="18">
        <f>Reference!F399</f>
        <v>0</v>
      </c>
      <c r="I89" s="18">
        <f>Reference!G399</f>
        <v>0</v>
      </c>
      <c r="J89" s="19">
        <f t="shared" si="3"/>
        <v>0</v>
      </c>
      <c r="L89" s="17">
        <f>Test!B399</f>
        <v>0</v>
      </c>
      <c r="M89" s="18">
        <f>Test!C399</f>
        <v>0</v>
      </c>
      <c r="N89" s="18">
        <f>Test!D399</f>
        <v>0</v>
      </c>
      <c r="O89" s="18">
        <f>Test!E399</f>
        <v>0</v>
      </c>
      <c r="P89" s="18">
        <f>Test!F399</f>
        <v>0</v>
      </c>
      <c r="Q89" s="18">
        <f>Test!G399</f>
        <v>0</v>
      </c>
      <c r="R89" s="19">
        <f t="shared" si="6"/>
        <v>0</v>
      </c>
      <c r="S89" s="18" t="e">
        <f t="shared" si="7"/>
        <v>#DIV/0!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>
      <c r="A90" s="21"/>
      <c r="B90" s="21"/>
      <c r="C90" s="21">
        <v>37</v>
      </c>
      <c r="D90" s="22">
        <f>Reference!B400</f>
        <v>0</v>
      </c>
      <c r="E90" s="23">
        <f>Reference!C400</f>
        <v>0</v>
      </c>
      <c r="F90" s="23">
        <f>Reference!D400</f>
        <v>0</v>
      </c>
      <c r="G90" s="23">
        <f>Reference!E400</f>
        <v>0</v>
      </c>
      <c r="H90" s="23">
        <f>Reference!F400</f>
        <v>0</v>
      </c>
      <c r="I90" s="23">
        <f>Reference!G400</f>
        <v>0</v>
      </c>
      <c r="J90" s="24">
        <f t="shared" si="3"/>
        <v>0</v>
      </c>
      <c r="L90" s="22">
        <f>Test!B400</f>
        <v>0</v>
      </c>
      <c r="M90" s="23">
        <f>Test!C400</f>
        <v>0</v>
      </c>
      <c r="N90" s="23">
        <f>Test!D400</f>
        <v>0</v>
      </c>
      <c r="O90" s="23">
        <f>Test!E400</f>
        <v>0</v>
      </c>
      <c r="P90" s="23">
        <f>Test!F400</f>
        <v>0</v>
      </c>
      <c r="Q90" s="23">
        <f>Test!G400</f>
        <v>0</v>
      </c>
      <c r="R90" s="24">
        <f t="shared" si="6"/>
        <v>0</v>
      </c>
      <c r="S90" s="18" t="e">
        <f t="shared" si="7"/>
        <v>#DIV/0!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>
      <c r="A91" s="34" t="s">
        <v>52</v>
      </c>
      <c r="B91" s="34" t="s">
        <v>62</v>
      </c>
      <c r="C91" s="34">
        <v>22</v>
      </c>
      <c r="D91" s="12">
        <f>Reference!B401</f>
        <v>0</v>
      </c>
      <c r="E91" s="13">
        <f>Reference!C401</f>
        <v>0</v>
      </c>
      <c r="F91" s="13">
        <f>Reference!D401</f>
        <v>0</v>
      </c>
      <c r="G91" s="13">
        <f>Reference!E401</f>
        <v>0</v>
      </c>
      <c r="H91" s="13">
        <f>Reference!F401</f>
        <v>0</v>
      </c>
      <c r="I91" s="13">
        <f>Reference!G401</f>
        <v>0</v>
      </c>
      <c r="J91" s="14">
        <f t="shared" si="3"/>
        <v>0</v>
      </c>
      <c r="L91" s="12">
        <f>Test!B401</f>
        <v>0</v>
      </c>
      <c r="M91" s="13">
        <f>Test!C401</f>
        <v>0</v>
      </c>
      <c r="N91" s="13">
        <f>Test!D401</f>
        <v>0</v>
      </c>
      <c r="O91" s="13">
        <f>Test!E401</f>
        <v>0</v>
      </c>
      <c r="P91" s="13">
        <f>Test!F401</f>
        <v>0</v>
      </c>
      <c r="Q91" s="13">
        <f>Test!G401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>
      <c r="A92" s="35"/>
      <c r="B92" s="35"/>
      <c r="C92" s="35">
        <v>27</v>
      </c>
      <c r="D92" s="17">
        <f>Reference!B402</f>
        <v>0</v>
      </c>
      <c r="E92" s="18">
        <f>Reference!C402</f>
        <v>0</v>
      </c>
      <c r="F92" s="18">
        <f>Reference!D402</f>
        <v>0</v>
      </c>
      <c r="G92" s="18">
        <f>Reference!E402</f>
        <v>0</v>
      </c>
      <c r="H92" s="18">
        <f>Reference!F402</f>
        <v>0</v>
      </c>
      <c r="I92" s="18">
        <f>Reference!G402</f>
        <v>0</v>
      </c>
      <c r="J92" s="19">
        <f t="shared" ref="J92:J106" si="8">H92/3600</f>
        <v>0</v>
      </c>
      <c r="L92" s="17">
        <f>Test!B402</f>
        <v>0</v>
      </c>
      <c r="M92" s="18">
        <f>Test!C402</f>
        <v>0</v>
      </c>
      <c r="N92" s="18">
        <f>Test!D402</f>
        <v>0</v>
      </c>
      <c r="O92" s="18">
        <f>Test!E402</f>
        <v>0</v>
      </c>
      <c r="P92" s="18">
        <f>Test!F402</f>
        <v>0</v>
      </c>
      <c r="Q92" s="18">
        <f>Test!G402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>
      <c r="A93" s="35"/>
      <c r="B93" s="35"/>
      <c r="C93" s="35">
        <v>32</v>
      </c>
      <c r="D93" s="17">
        <f>Reference!B403</f>
        <v>0</v>
      </c>
      <c r="E93" s="18">
        <f>Reference!C403</f>
        <v>0</v>
      </c>
      <c r="F93" s="18">
        <f>Reference!D403</f>
        <v>0</v>
      </c>
      <c r="G93" s="18">
        <f>Reference!E403</f>
        <v>0</v>
      </c>
      <c r="H93" s="18">
        <f>Reference!F403</f>
        <v>0</v>
      </c>
      <c r="I93" s="18">
        <f>Reference!G403</f>
        <v>0</v>
      </c>
      <c r="J93" s="19">
        <f t="shared" si="8"/>
        <v>0</v>
      </c>
      <c r="L93" s="17">
        <f>Test!B403</f>
        <v>0</v>
      </c>
      <c r="M93" s="18">
        <f>Test!C403</f>
        <v>0</v>
      </c>
      <c r="N93" s="18">
        <f>Test!D403</f>
        <v>0</v>
      </c>
      <c r="O93" s="18">
        <f>Test!E403</f>
        <v>0</v>
      </c>
      <c r="P93" s="18">
        <f>Test!F403</f>
        <v>0</v>
      </c>
      <c r="Q93" s="18">
        <f>Test!G403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>
      <c r="A94" s="35"/>
      <c r="B94" s="36"/>
      <c r="C94" s="36">
        <v>37</v>
      </c>
      <c r="D94" s="22">
        <f>Reference!B404</f>
        <v>0</v>
      </c>
      <c r="E94" s="23">
        <f>Reference!C404</f>
        <v>0</v>
      </c>
      <c r="F94" s="23">
        <f>Reference!D404</f>
        <v>0</v>
      </c>
      <c r="G94" s="23">
        <f>Reference!E404</f>
        <v>0</v>
      </c>
      <c r="H94" s="23">
        <f>Reference!F404</f>
        <v>0</v>
      </c>
      <c r="I94" s="23">
        <f>Reference!G404</f>
        <v>0</v>
      </c>
      <c r="J94" s="24">
        <f t="shared" si="8"/>
        <v>0</v>
      </c>
      <c r="L94" s="22">
        <f>Test!B404</f>
        <v>0</v>
      </c>
      <c r="M94" s="23">
        <f>Test!C404</f>
        <v>0</v>
      </c>
      <c r="N94" s="23">
        <f>Test!D404</f>
        <v>0</v>
      </c>
      <c r="O94" s="23">
        <f>Test!E404</f>
        <v>0</v>
      </c>
      <c r="P94" s="23">
        <f>Test!F404</f>
        <v>0</v>
      </c>
      <c r="Q94" s="23">
        <f>Test!G404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>
      <c r="A95" s="35"/>
      <c r="B95" s="34" t="s">
        <v>523</v>
      </c>
      <c r="C95" s="34">
        <v>22</v>
      </c>
      <c r="D95" s="12">
        <f>Reference!B405</f>
        <v>0</v>
      </c>
      <c r="E95" s="13">
        <f>Reference!C405</f>
        <v>0</v>
      </c>
      <c r="F95" s="13">
        <f>Reference!D405</f>
        <v>0</v>
      </c>
      <c r="G95" s="13">
        <f>Reference!E405</f>
        <v>0</v>
      </c>
      <c r="H95" s="13">
        <f>Reference!F405</f>
        <v>0</v>
      </c>
      <c r="I95" s="13">
        <f>Reference!G405</f>
        <v>0</v>
      </c>
      <c r="J95" s="14">
        <f t="shared" si="8"/>
        <v>0</v>
      </c>
      <c r="L95" s="12">
        <f>Test!B405</f>
        <v>0</v>
      </c>
      <c r="M95" s="13">
        <f>Test!C405</f>
        <v>0</v>
      </c>
      <c r="N95" s="13">
        <f>Test!D405</f>
        <v>0</v>
      </c>
      <c r="O95" s="13">
        <f>Test!E405</f>
        <v>0</v>
      </c>
      <c r="P95" s="13">
        <f>Test!F405</f>
        <v>0</v>
      </c>
      <c r="Q95" s="13">
        <f>Test!G405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>
      <c r="A96" s="35"/>
      <c r="B96" s="35"/>
      <c r="C96" s="35">
        <v>27</v>
      </c>
      <c r="D96" s="17">
        <f>Reference!B406</f>
        <v>0</v>
      </c>
      <c r="E96" s="18">
        <f>Reference!C406</f>
        <v>0</v>
      </c>
      <c r="F96" s="18">
        <f>Reference!D406</f>
        <v>0</v>
      </c>
      <c r="G96" s="18">
        <f>Reference!E406</f>
        <v>0</v>
      </c>
      <c r="H96" s="18">
        <f>Reference!F406</f>
        <v>0</v>
      </c>
      <c r="I96" s="18">
        <f>Reference!G406</f>
        <v>0</v>
      </c>
      <c r="J96" s="19">
        <f t="shared" si="8"/>
        <v>0</v>
      </c>
      <c r="L96" s="17">
        <f>Test!B406</f>
        <v>0</v>
      </c>
      <c r="M96" s="18">
        <f>Test!C406</f>
        <v>0</v>
      </c>
      <c r="N96" s="18">
        <f>Test!D406</f>
        <v>0</v>
      </c>
      <c r="O96" s="18">
        <f>Test!E406</f>
        <v>0</v>
      </c>
      <c r="P96" s="18">
        <f>Test!F406</f>
        <v>0</v>
      </c>
      <c r="Q96" s="18">
        <f>Test!G406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>
      <c r="A97" s="35"/>
      <c r="B97" s="35"/>
      <c r="C97" s="35">
        <v>32</v>
      </c>
      <c r="D97" s="17">
        <f>Reference!B407</f>
        <v>0</v>
      </c>
      <c r="E97" s="18">
        <f>Reference!C407</f>
        <v>0</v>
      </c>
      <c r="F97" s="18">
        <f>Reference!D407</f>
        <v>0</v>
      </c>
      <c r="G97" s="18">
        <f>Reference!E407</f>
        <v>0</v>
      </c>
      <c r="H97" s="18">
        <f>Reference!F407</f>
        <v>0</v>
      </c>
      <c r="I97" s="18">
        <f>Reference!G407</f>
        <v>0</v>
      </c>
      <c r="J97" s="19">
        <f t="shared" si="8"/>
        <v>0</v>
      </c>
      <c r="L97" s="17">
        <f>Test!B407</f>
        <v>0</v>
      </c>
      <c r="M97" s="18">
        <f>Test!C407</f>
        <v>0</v>
      </c>
      <c r="N97" s="18">
        <f>Test!D407</f>
        <v>0</v>
      </c>
      <c r="O97" s="18">
        <f>Test!E407</f>
        <v>0</v>
      </c>
      <c r="P97" s="18">
        <f>Test!F407</f>
        <v>0</v>
      </c>
      <c r="Q97" s="18">
        <f>Test!G407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>
      <c r="A98" s="35"/>
      <c r="B98" s="36"/>
      <c r="C98" s="36">
        <v>37</v>
      </c>
      <c r="D98" s="22">
        <f>Reference!B408</f>
        <v>0</v>
      </c>
      <c r="E98" s="23">
        <f>Reference!C408</f>
        <v>0</v>
      </c>
      <c r="F98" s="23">
        <f>Reference!D408</f>
        <v>0</v>
      </c>
      <c r="G98" s="23">
        <f>Reference!E408</f>
        <v>0</v>
      </c>
      <c r="H98" s="23">
        <f>Reference!F408</f>
        <v>0</v>
      </c>
      <c r="I98" s="23">
        <f>Reference!G408</f>
        <v>0</v>
      </c>
      <c r="J98" s="24">
        <f t="shared" si="8"/>
        <v>0</v>
      </c>
      <c r="L98" s="22">
        <f>Test!B408</f>
        <v>0</v>
      </c>
      <c r="M98" s="23">
        <f>Test!C408</f>
        <v>0</v>
      </c>
      <c r="N98" s="23">
        <f>Test!D408</f>
        <v>0</v>
      </c>
      <c r="O98" s="23">
        <f>Test!E408</f>
        <v>0</v>
      </c>
      <c r="P98" s="23">
        <f>Test!F408</f>
        <v>0</v>
      </c>
      <c r="Q98" s="23">
        <f>Test!G408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>
      <c r="A99" s="35"/>
      <c r="B99" s="34" t="s">
        <v>64</v>
      </c>
      <c r="C99" s="34">
        <v>22</v>
      </c>
      <c r="D99" s="12">
        <f>Reference!B409</f>
        <v>0</v>
      </c>
      <c r="E99" s="13">
        <f>Reference!C409</f>
        <v>0</v>
      </c>
      <c r="F99" s="13">
        <f>Reference!D409</f>
        <v>0</v>
      </c>
      <c r="G99" s="13">
        <f>Reference!E409</f>
        <v>0</v>
      </c>
      <c r="H99" s="13">
        <f>Reference!F409</f>
        <v>0</v>
      </c>
      <c r="I99" s="13">
        <f>Reference!G409</f>
        <v>0</v>
      </c>
      <c r="J99" s="14">
        <f t="shared" si="8"/>
        <v>0</v>
      </c>
      <c r="L99" s="12">
        <f>Test!B409</f>
        <v>0</v>
      </c>
      <c r="M99" s="13">
        <f>Test!C409</f>
        <v>0</v>
      </c>
      <c r="N99" s="13">
        <f>Test!D409</f>
        <v>0</v>
      </c>
      <c r="O99" s="13">
        <f>Test!E409</f>
        <v>0</v>
      </c>
      <c r="P99" s="13">
        <f>Test!F409</f>
        <v>0</v>
      </c>
      <c r="Q99" s="13">
        <f>Test!G409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>
      <c r="A100" s="35"/>
      <c r="B100" s="35"/>
      <c r="C100" s="35">
        <v>27</v>
      </c>
      <c r="D100" s="17">
        <f>Reference!B410</f>
        <v>0</v>
      </c>
      <c r="E100" s="18">
        <f>Reference!C410</f>
        <v>0</v>
      </c>
      <c r="F100" s="18">
        <f>Reference!D410</f>
        <v>0</v>
      </c>
      <c r="G100" s="18">
        <f>Reference!E410</f>
        <v>0</v>
      </c>
      <c r="H100" s="18">
        <f>Reference!F410</f>
        <v>0</v>
      </c>
      <c r="I100" s="18">
        <f>Reference!G410</f>
        <v>0</v>
      </c>
      <c r="J100" s="19">
        <f t="shared" si="8"/>
        <v>0</v>
      </c>
      <c r="L100" s="17">
        <f>Test!B410</f>
        <v>0</v>
      </c>
      <c r="M100" s="18">
        <f>Test!C410</f>
        <v>0</v>
      </c>
      <c r="N100" s="18">
        <f>Test!D410</f>
        <v>0</v>
      </c>
      <c r="O100" s="18">
        <f>Test!E410</f>
        <v>0</v>
      </c>
      <c r="P100" s="18">
        <f>Test!F410</f>
        <v>0</v>
      </c>
      <c r="Q100" s="18">
        <f>Test!G410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>
      <c r="A101" s="35"/>
      <c r="B101" s="35"/>
      <c r="C101" s="35">
        <v>32</v>
      </c>
      <c r="D101" s="17">
        <f>Reference!B411</f>
        <v>0</v>
      </c>
      <c r="E101" s="18">
        <f>Reference!C411</f>
        <v>0</v>
      </c>
      <c r="F101" s="18">
        <f>Reference!D411</f>
        <v>0</v>
      </c>
      <c r="G101" s="18">
        <f>Reference!E411</f>
        <v>0</v>
      </c>
      <c r="H101" s="18">
        <f>Reference!F411</f>
        <v>0</v>
      </c>
      <c r="I101" s="18">
        <f>Reference!G411</f>
        <v>0</v>
      </c>
      <c r="J101" s="19">
        <f t="shared" si="8"/>
        <v>0</v>
      </c>
      <c r="L101" s="17">
        <f>Test!B411</f>
        <v>0</v>
      </c>
      <c r="M101" s="18">
        <f>Test!C411</f>
        <v>0</v>
      </c>
      <c r="N101" s="18">
        <f>Test!D411</f>
        <v>0</v>
      </c>
      <c r="O101" s="18">
        <f>Test!E411</f>
        <v>0</v>
      </c>
      <c r="P101" s="18">
        <f>Test!F411</f>
        <v>0</v>
      </c>
      <c r="Q101" s="18">
        <f>Test!G411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>
      <c r="A102" s="35"/>
      <c r="B102" s="36"/>
      <c r="C102" s="36">
        <v>37</v>
      </c>
      <c r="D102" s="22">
        <f>Reference!B412</f>
        <v>0</v>
      </c>
      <c r="E102" s="23">
        <f>Reference!C412</f>
        <v>0</v>
      </c>
      <c r="F102" s="23">
        <f>Reference!D412</f>
        <v>0</v>
      </c>
      <c r="G102" s="23">
        <f>Reference!E412</f>
        <v>0</v>
      </c>
      <c r="H102" s="23">
        <f>Reference!F412</f>
        <v>0</v>
      </c>
      <c r="I102" s="23">
        <f>Reference!G412</f>
        <v>0</v>
      </c>
      <c r="J102" s="24">
        <f t="shared" si="8"/>
        <v>0</v>
      </c>
      <c r="L102" s="22">
        <f>Test!B412</f>
        <v>0</v>
      </c>
      <c r="M102" s="23">
        <f>Test!C412</f>
        <v>0</v>
      </c>
      <c r="N102" s="23">
        <f>Test!D412</f>
        <v>0</v>
      </c>
      <c r="O102" s="23">
        <f>Test!E412</f>
        <v>0</v>
      </c>
      <c r="P102" s="23">
        <f>Test!F412</f>
        <v>0</v>
      </c>
      <c r="Q102" s="23">
        <f>Test!G412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>
      <c r="A103" s="35"/>
      <c r="B103" s="34" t="s">
        <v>65</v>
      </c>
      <c r="C103" s="34">
        <v>22</v>
      </c>
      <c r="D103" s="12">
        <f>Reference!B413</f>
        <v>0</v>
      </c>
      <c r="E103" s="13">
        <f>Reference!C413</f>
        <v>0</v>
      </c>
      <c r="F103" s="13">
        <f>Reference!D413</f>
        <v>0</v>
      </c>
      <c r="G103" s="13">
        <f>Reference!E413</f>
        <v>0</v>
      </c>
      <c r="H103" s="13">
        <f>Reference!F413</f>
        <v>0</v>
      </c>
      <c r="I103" s="13">
        <f>Reference!G413</f>
        <v>0</v>
      </c>
      <c r="J103" s="14">
        <f t="shared" si="8"/>
        <v>0</v>
      </c>
      <c r="L103" s="12">
        <f>Test!B413</f>
        <v>0</v>
      </c>
      <c r="M103" s="13">
        <f>Test!C413</f>
        <v>0</v>
      </c>
      <c r="N103" s="13">
        <f>Test!D413</f>
        <v>0</v>
      </c>
      <c r="O103" s="13">
        <f>Test!E413</f>
        <v>0</v>
      </c>
      <c r="P103" s="13">
        <f>Test!F413</f>
        <v>0</v>
      </c>
      <c r="Q103" s="13">
        <f>Test!G413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>
      <c r="A104" s="35"/>
      <c r="B104" s="35"/>
      <c r="C104" s="35">
        <v>27</v>
      </c>
      <c r="D104" s="17">
        <f>Reference!B414</f>
        <v>0</v>
      </c>
      <c r="E104" s="18">
        <f>Reference!C414</f>
        <v>0</v>
      </c>
      <c r="F104" s="18">
        <f>Reference!D414</f>
        <v>0</v>
      </c>
      <c r="G104" s="18">
        <f>Reference!E414</f>
        <v>0</v>
      </c>
      <c r="H104" s="18">
        <f>Reference!F414</f>
        <v>0</v>
      </c>
      <c r="I104" s="18">
        <f>Reference!G414</f>
        <v>0</v>
      </c>
      <c r="J104" s="19">
        <f t="shared" si="8"/>
        <v>0</v>
      </c>
      <c r="L104" s="17">
        <f>Test!B414</f>
        <v>0</v>
      </c>
      <c r="M104" s="18">
        <f>Test!C414</f>
        <v>0</v>
      </c>
      <c r="N104" s="18">
        <f>Test!D414</f>
        <v>0</v>
      </c>
      <c r="O104" s="18">
        <f>Test!E414</f>
        <v>0</v>
      </c>
      <c r="P104" s="18">
        <f>Test!F414</f>
        <v>0</v>
      </c>
      <c r="Q104" s="18">
        <f>Test!G414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>
      <c r="A105" s="35"/>
      <c r="B105" s="35"/>
      <c r="C105" s="35">
        <v>32</v>
      </c>
      <c r="D105" s="17">
        <f>Reference!B415</f>
        <v>0</v>
      </c>
      <c r="E105" s="18">
        <f>Reference!C415</f>
        <v>0</v>
      </c>
      <c r="F105" s="18">
        <f>Reference!D415</f>
        <v>0</v>
      </c>
      <c r="G105" s="18">
        <f>Reference!E415</f>
        <v>0</v>
      </c>
      <c r="H105" s="18">
        <f>Reference!F415</f>
        <v>0</v>
      </c>
      <c r="I105" s="18">
        <f>Reference!G415</f>
        <v>0</v>
      </c>
      <c r="J105" s="19">
        <f t="shared" si="8"/>
        <v>0</v>
      </c>
      <c r="L105" s="17">
        <f>Test!B415</f>
        <v>0</v>
      </c>
      <c r="M105" s="18">
        <f>Test!C415</f>
        <v>0</v>
      </c>
      <c r="N105" s="18">
        <f>Test!D415</f>
        <v>0</v>
      </c>
      <c r="O105" s="18">
        <f>Test!E415</f>
        <v>0</v>
      </c>
      <c r="P105" s="18">
        <f>Test!F415</f>
        <v>0</v>
      </c>
      <c r="Q105" s="18">
        <f>Test!G415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>
      <c r="A106" s="36"/>
      <c r="B106" s="36"/>
      <c r="C106" s="36">
        <v>37</v>
      </c>
      <c r="D106" s="22">
        <f>Reference!B416</f>
        <v>0</v>
      </c>
      <c r="E106" s="23">
        <f>Reference!C416</f>
        <v>0</v>
      </c>
      <c r="F106" s="23">
        <f>Reference!D416</f>
        <v>0</v>
      </c>
      <c r="G106" s="23">
        <f>Reference!E416</f>
        <v>0</v>
      </c>
      <c r="H106" s="23">
        <f>Reference!F416</f>
        <v>0</v>
      </c>
      <c r="I106" s="23">
        <f>Reference!G416</f>
        <v>0</v>
      </c>
      <c r="J106" s="24">
        <f t="shared" si="8"/>
        <v>0</v>
      </c>
      <c r="L106" s="22">
        <f>Test!B416</f>
        <v>0</v>
      </c>
      <c r="M106" s="23">
        <f>Test!C416</f>
        <v>0</v>
      </c>
      <c r="N106" s="23">
        <f>Test!D416</f>
        <v>0</v>
      </c>
      <c r="O106" s="23">
        <f>Test!E416</f>
        <v>0</v>
      </c>
      <c r="P106" s="23">
        <f>Test!F416</f>
        <v>0</v>
      </c>
      <c r="Q106" s="23">
        <f>Test!G416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>
      <c r="B107" s="1" t="s">
        <v>72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>
      <c r="B108" s="1" t="s">
        <v>73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>AVERAGE(V27:V46)</f>
        <v>#VALUE!</v>
      </c>
      <c r="W109" s="48" t="e">
        <f t="shared" ref="W109:AA109" si="10">AVERAGE(W27:W46)</f>
        <v>#VALUE!</v>
      </c>
      <c r="X109" s="48" t="e">
        <f t="shared" si="10"/>
        <v>#VALUE!</v>
      </c>
      <c r="Y109" s="44" t="e">
        <f t="shared" si="10"/>
        <v>#VALUE!</v>
      </c>
      <c r="Z109" s="48" t="e">
        <f t="shared" si="10"/>
        <v>#VALUE!</v>
      </c>
      <c r="AA109" s="49" t="e">
        <f t="shared" si="10"/>
        <v>#VALUE!</v>
      </c>
    </row>
    <row r="110" spans="1:27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>AVERAGE(V47:V62)</f>
        <v>#VALUE!</v>
      </c>
      <c r="W110" s="48" t="e">
        <f t="shared" ref="W110:AA110" si="12">AVERAGE(W47:W62)</f>
        <v>#VALUE!</v>
      </c>
      <c r="X110" s="48" t="e">
        <f t="shared" si="12"/>
        <v>#VALUE!</v>
      </c>
      <c r="Y110" s="44" t="e">
        <f t="shared" si="12"/>
        <v>#VALUE!</v>
      </c>
      <c r="Z110" s="48" t="e">
        <f t="shared" si="12"/>
        <v>#VALUE!</v>
      </c>
      <c r="AA110" s="49" t="e">
        <f t="shared" si="12"/>
        <v>#VALUE!</v>
      </c>
    </row>
    <row r="111" spans="1:27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>AVERAGE(V63:V78)</f>
        <v>#VALUE!</v>
      </c>
      <c r="W111" s="48" t="e">
        <f t="shared" ref="W111:AA111" si="14">AVERAGE(W63:W78)</f>
        <v>#VALUE!</v>
      </c>
      <c r="X111" s="48" t="e">
        <f t="shared" si="14"/>
        <v>#VALUE!</v>
      </c>
      <c r="Y111" s="44" t="e">
        <f t="shared" si="14"/>
        <v>#VALUE!</v>
      </c>
      <c r="Z111" s="48" t="e">
        <f t="shared" si="14"/>
        <v>#VALUE!</v>
      </c>
      <c r="AA111" s="49" t="e">
        <f t="shared" si="14"/>
        <v>#VALUE!</v>
      </c>
    </row>
    <row r="112" spans="1:27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#DIV/0!</v>
      </c>
      <c r="T112" s="15" t="e">
        <f t="shared" si="15"/>
        <v>#DIV/0!</v>
      </c>
      <c r="V112" s="44" t="e">
        <f>AVERAGE(V79:V88)</f>
        <v>#VALUE!</v>
      </c>
      <c r="W112" s="48" t="e">
        <f t="shared" ref="W112:AA112" si="16">AVERAGE(W79:W88)</f>
        <v>#VALUE!</v>
      </c>
      <c r="X112" s="48" t="e">
        <f t="shared" si="16"/>
        <v>#VALUE!</v>
      </c>
      <c r="Y112" s="44" t="e">
        <f t="shared" si="16"/>
        <v>#VALUE!</v>
      </c>
      <c r="Z112" s="48" t="e">
        <f t="shared" si="16"/>
        <v>#VALUE!</v>
      </c>
      <c r="AA112" s="49" t="e">
        <f t="shared" si="16"/>
        <v>#VALUE!</v>
      </c>
    </row>
    <row r="113" spans="1:27" ht="12.75" thickBot="1">
      <c r="B113" s="1" t="s">
        <v>44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>AVERAGE(V91:V106)</f>
        <v>#VALUE!</v>
      </c>
      <c r="W113" s="48" t="e">
        <f t="shared" ref="W113:AA113" si="18">AVERAGE(W91:W106)</f>
        <v>#VALUE!</v>
      </c>
      <c r="X113" s="48" t="e">
        <f t="shared" si="18"/>
        <v>#VALUE!</v>
      </c>
      <c r="Y113" s="44" t="e">
        <f t="shared" si="18"/>
        <v>#VALUE!</v>
      </c>
      <c r="Z113" s="48" t="e">
        <f t="shared" si="18"/>
        <v>#VALUE!</v>
      </c>
      <c r="AA113" s="49" t="e">
        <f t="shared" si="18"/>
        <v>#VALUE!</v>
      </c>
    </row>
    <row r="114" spans="1:27" ht="12.75" thickBot="1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>AVERAGE(V3:V62,V79:V90)</f>
        <v>#VALUE!</v>
      </c>
      <c r="W114" s="50" t="e">
        <f t="shared" ref="W114:AA114" si="20">AVERAGE(W3:W62,W79:W90)</f>
        <v>#VALUE!</v>
      </c>
      <c r="X114" s="50" t="e">
        <f t="shared" si="20"/>
        <v>#VALUE!</v>
      </c>
      <c r="Y114" s="45" t="e">
        <f t="shared" si="20"/>
        <v>#VALUE!</v>
      </c>
      <c r="Z114" s="50" t="e">
        <f t="shared" si="20"/>
        <v>#VALUE!</v>
      </c>
      <c r="AA114" s="51" t="e">
        <f t="shared" si="20"/>
        <v>#VALUE!</v>
      </c>
    </row>
    <row r="115" spans="1:27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>
      <c r="B117" s="1" t="s">
        <v>11</v>
      </c>
      <c r="I117" s="26"/>
      <c r="J117" s="26"/>
      <c r="Q117" s="26"/>
      <c r="R117" s="26"/>
      <c r="S117" s="26"/>
      <c r="T117" s="26"/>
    </row>
  </sheetData>
  <mergeCells count="4">
    <mergeCell ref="D1:J1"/>
    <mergeCell ref="L1:R1"/>
    <mergeCell ref="V1:X1"/>
    <mergeCell ref="Y1:AA1"/>
  </mergeCells>
  <conditionalFormatting sqref="AA7">
    <cfRule type="cellIs" dxfId="237" priority="533" operator="greaterThan">
      <formula>0.03</formula>
    </cfRule>
    <cfRule type="cellIs" dxfId="236" priority="534" stopIfTrue="1" operator="lessThan">
      <formula>-0.03</formula>
    </cfRule>
  </conditionalFormatting>
  <conditionalFormatting sqref="Z11">
    <cfRule type="cellIs" dxfId="235" priority="529" operator="greaterThan">
      <formula>0.03</formula>
    </cfRule>
    <cfRule type="cellIs" dxfId="234" priority="530" stopIfTrue="1" operator="lessThan">
      <formula>-0.03</formula>
    </cfRule>
  </conditionalFormatting>
  <conditionalFormatting sqref="Y6:Z6">
    <cfRule type="cellIs" dxfId="233" priority="519" operator="greaterThan">
      <formula>0.03</formula>
    </cfRule>
    <cfRule type="cellIs" dxfId="232" priority="520" stopIfTrue="1" operator="lessThan">
      <formula>-0.03</formula>
    </cfRule>
  </conditionalFormatting>
  <conditionalFormatting sqref="Y14:Z14">
    <cfRule type="cellIs" dxfId="231" priority="515" operator="greaterThan">
      <formula>0.03</formula>
    </cfRule>
    <cfRule type="cellIs" dxfId="230" priority="516" stopIfTrue="1" operator="lessThan">
      <formula>-0.03</formula>
    </cfRule>
  </conditionalFormatting>
  <conditionalFormatting sqref="V114:AA114">
    <cfRule type="cellIs" dxfId="229" priority="471" operator="greaterThan">
      <formula>0.03</formula>
    </cfRule>
    <cfRule type="cellIs" dxfId="228" priority="472" stopIfTrue="1" operator="lessThan">
      <formula>-0.03</formula>
    </cfRule>
  </conditionalFormatting>
  <conditionalFormatting sqref="Y23">
    <cfRule type="cellIs" dxfId="227" priority="433" operator="greaterThan">
      <formula>0.03</formula>
    </cfRule>
    <cfRule type="cellIs" dxfId="226" priority="434" stopIfTrue="1" operator="lessThan">
      <formula>-0.03</formula>
    </cfRule>
  </conditionalFormatting>
  <conditionalFormatting sqref="Z19">
    <cfRule type="cellIs" dxfId="225" priority="437" operator="greaterThan">
      <formula>0.03</formula>
    </cfRule>
    <cfRule type="cellIs" dxfId="224" priority="438" stopIfTrue="1" operator="lessThan">
      <formula>-0.03</formula>
    </cfRule>
  </conditionalFormatting>
  <conditionalFormatting sqref="AA19">
    <cfRule type="cellIs" dxfId="223" priority="435" operator="greaterThan">
      <formula>0.03</formula>
    </cfRule>
    <cfRule type="cellIs" dxfId="222" priority="436" stopIfTrue="1" operator="lessThan">
      <formula>-0.03</formula>
    </cfRule>
  </conditionalFormatting>
  <conditionalFormatting sqref="Z35">
    <cfRule type="cellIs" dxfId="221" priority="343" operator="greaterThan">
      <formula>0.03</formula>
    </cfRule>
    <cfRule type="cellIs" dxfId="220" priority="344" stopIfTrue="1" operator="lessThan">
      <formula>-0.03</formula>
    </cfRule>
  </conditionalFormatting>
  <conditionalFormatting sqref="Y31">
    <cfRule type="cellIs" dxfId="219" priority="351" operator="greaterThan">
      <formula>0.03</formula>
    </cfRule>
    <cfRule type="cellIs" dxfId="218" priority="352" stopIfTrue="1" operator="lessThan">
      <formula>-0.03</formula>
    </cfRule>
  </conditionalFormatting>
  <conditionalFormatting sqref="AA27">
    <cfRule type="cellIs" dxfId="217" priority="367" operator="greaterThan">
      <formula>0.03</formula>
    </cfRule>
    <cfRule type="cellIs" dxfId="216" priority="368" stopIfTrue="1" operator="lessThan">
      <formula>-0.03</formula>
    </cfRule>
  </conditionalFormatting>
  <conditionalFormatting sqref="Y30:Z30">
    <cfRule type="cellIs" dxfId="215" priority="365" operator="greaterThan">
      <formula>0.03</formula>
    </cfRule>
    <cfRule type="cellIs" dxfId="214" priority="366" stopIfTrue="1" operator="lessThan">
      <formula>-0.03</formula>
    </cfRule>
  </conditionalFormatting>
  <conditionalFormatting sqref="AA35">
    <cfRule type="cellIs" dxfId="213" priority="341" operator="greaterThan">
      <formula>0.03</formula>
    </cfRule>
    <cfRule type="cellIs" dxfId="212" priority="342" stopIfTrue="1" operator="lessThan">
      <formula>-0.03</formula>
    </cfRule>
  </conditionalFormatting>
  <conditionalFormatting sqref="Y34:Z34">
    <cfRule type="cellIs" dxfId="211" priority="339" operator="greaterThan">
      <formula>0.03</formula>
    </cfRule>
    <cfRule type="cellIs" dxfId="210" priority="340" stopIfTrue="1" operator="lessThan">
      <formula>-0.03</formula>
    </cfRule>
  </conditionalFormatting>
  <conditionalFormatting sqref="Y38:Z38">
    <cfRule type="cellIs" dxfId="209" priority="337" operator="greaterThan">
      <formula>0.03</formula>
    </cfRule>
    <cfRule type="cellIs" dxfId="208" priority="338" stopIfTrue="1" operator="lessThan">
      <formula>-0.03</formula>
    </cfRule>
  </conditionalFormatting>
  <conditionalFormatting sqref="V31:X38">
    <cfRule type="cellIs" dxfId="207" priority="353" operator="greaterThan">
      <formula>0.03</formula>
    </cfRule>
    <cfRule type="cellIs" dxfId="206" priority="354" stopIfTrue="1" operator="lessThan">
      <formula>-0.03</formula>
    </cfRule>
  </conditionalFormatting>
  <conditionalFormatting sqref="Z31">
    <cfRule type="cellIs" dxfId="205" priority="349" operator="greaterThan">
      <formula>0.03</formula>
    </cfRule>
    <cfRule type="cellIs" dxfId="204" priority="350" stopIfTrue="1" operator="lessThan">
      <formula>-0.03</formula>
    </cfRule>
  </conditionalFormatting>
  <conditionalFormatting sqref="AA31">
    <cfRule type="cellIs" dxfId="203" priority="347" operator="greaterThan">
      <formula>0.03</formula>
    </cfRule>
    <cfRule type="cellIs" dxfId="202" priority="348" stopIfTrue="1" operator="lessThan">
      <formula>-0.03</formula>
    </cfRule>
  </conditionalFormatting>
  <conditionalFormatting sqref="Y35">
    <cfRule type="cellIs" dxfId="201" priority="345" operator="greaterThan">
      <formula>0.03</formula>
    </cfRule>
    <cfRule type="cellIs" dxfId="200" priority="346" stopIfTrue="1" operator="lessThan">
      <formula>-0.03</formula>
    </cfRule>
  </conditionalFormatting>
  <conditionalFormatting sqref="V39:X46">
    <cfRule type="cellIs" dxfId="199" priority="315" operator="greaterThan">
      <formula>0.03</formula>
    </cfRule>
    <cfRule type="cellIs" dxfId="198" priority="316" stopIfTrue="1" operator="lessThan">
      <formula>-0.03</formula>
    </cfRule>
  </conditionalFormatting>
  <conditionalFormatting sqref="Y39">
    <cfRule type="cellIs" dxfId="197" priority="313" operator="greaterThan">
      <formula>0.03</formula>
    </cfRule>
    <cfRule type="cellIs" dxfId="196" priority="314" stopIfTrue="1" operator="lessThan">
      <formula>-0.03</formula>
    </cfRule>
  </conditionalFormatting>
  <conditionalFormatting sqref="Z39">
    <cfRule type="cellIs" dxfId="195" priority="311" operator="greaterThan">
      <formula>0.03</formula>
    </cfRule>
    <cfRule type="cellIs" dxfId="194" priority="312" stopIfTrue="1" operator="lessThan">
      <formula>-0.03</formula>
    </cfRule>
  </conditionalFormatting>
  <conditionalFormatting sqref="AA39">
    <cfRule type="cellIs" dxfId="193" priority="309" operator="greaterThan">
      <formula>0.03</formula>
    </cfRule>
    <cfRule type="cellIs" dxfId="192" priority="310" stopIfTrue="1" operator="lessThan">
      <formula>-0.03</formula>
    </cfRule>
  </conditionalFormatting>
  <conditionalFormatting sqref="Y43">
    <cfRule type="cellIs" dxfId="191" priority="307" operator="greaterThan">
      <formula>0.03</formula>
    </cfRule>
    <cfRule type="cellIs" dxfId="190" priority="308" stopIfTrue="1" operator="lessThan">
      <formula>-0.03</formula>
    </cfRule>
  </conditionalFormatting>
  <conditionalFormatting sqref="Z43">
    <cfRule type="cellIs" dxfId="189" priority="305" operator="greaterThan">
      <formula>0.03</formula>
    </cfRule>
    <cfRule type="cellIs" dxfId="188" priority="306" stopIfTrue="1" operator="lessThan">
      <formula>-0.03</formula>
    </cfRule>
  </conditionalFormatting>
  <conditionalFormatting sqref="AA43">
    <cfRule type="cellIs" dxfId="187" priority="303" operator="greaterThan">
      <formula>0.03</formula>
    </cfRule>
    <cfRule type="cellIs" dxfId="186" priority="304" stopIfTrue="1" operator="lessThan">
      <formula>-0.03</formula>
    </cfRule>
  </conditionalFormatting>
  <conditionalFormatting sqref="Y42:Z42">
    <cfRule type="cellIs" dxfId="185" priority="301" operator="greaterThan">
      <formula>0.03</formula>
    </cfRule>
    <cfRule type="cellIs" dxfId="184" priority="302" stopIfTrue="1" operator="lessThan">
      <formula>-0.03</formula>
    </cfRule>
  </conditionalFormatting>
  <conditionalFormatting sqref="Y46:Z46">
    <cfRule type="cellIs" dxfId="183" priority="299" operator="greaterThan">
      <formula>0.03</formula>
    </cfRule>
    <cfRule type="cellIs" dxfId="182" priority="300" stopIfTrue="1" operator="lessThan">
      <formula>-0.03</formula>
    </cfRule>
  </conditionalFormatting>
  <conditionalFormatting sqref="V47:X62">
    <cfRule type="cellIs" dxfId="181" priority="277" operator="greaterThan">
      <formula>0.03</formula>
    </cfRule>
    <cfRule type="cellIs" dxfId="180" priority="278" stopIfTrue="1" operator="lessThan">
      <formula>-0.03</formula>
    </cfRule>
  </conditionalFormatting>
  <conditionalFormatting sqref="Y47">
    <cfRule type="cellIs" dxfId="179" priority="275" operator="greaterThan">
      <formula>0.03</formula>
    </cfRule>
    <cfRule type="cellIs" dxfId="178" priority="276" stopIfTrue="1" operator="lessThan">
      <formula>-0.03</formula>
    </cfRule>
  </conditionalFormatting>
  <conditionalFormatting sqref="Z47">
    <cfRule type="cellIs" dxfId="177" priority="273" operator="greaterThan">
      <formula>0.03</formula>
    </cfRule>
    <cfRule type="cellIs" dxfId="176" priority="274" stopIfTrue="1" operator="lessThan">
      <formula>-0.03</formula>
    </cfRule>
  </conditionalFormatting>
  <conditionalFormatting sqref="AA47">
    <cfRule type="cellIs" dxfId="175" priority="271" operator="greaterThan">
      <formula>0.03</formula>
    </cfRule>
    <cfRule type="cellIs" dxfId="174" priority="272" stopIfTrue="1" operator="lessThan">
      <formula>-0.03</formula>
    </cfRule>
  </conditionalFormatting>
  <conditionalFormatting sqref="Y51">
    <cfRule type="cellIs" dxfId="173" priority="269" operator="greaterThan">
      <formula>0.03</formula>
    </cfRule>
    <cfRule type="cellIs" dxfId="172" priority="270" stopIfTrue="1" operator="lessThan">
      <formula>-0.03</formula>
    </cfRule>
  </conditionalFormatting>
  <conditionalFormatting sqref="Z51">
    <cfRule type="cellIs" dxfId="171" priority="267" operator="greaterThan">
      <formula>0.03</formula>
    </cfRule>
    <cfRule type="cellIs" dxfId="170" priority="268" stopIfTrue="1" operator="lessThan">
      <formula>-0.03</formula>
    </cfRule>
  </conditionalFormatting>
  <conditionalFormatting sqref="AA51">
    <cfRule type="cellIs" dxfId="169" priority="265" operator="greaterThan">
      <formula>0.03</formula>
    </cfRule>
    <cfRule type="cellIs" dxfId="168" priority="266" stopIfTrue="1" operator="lessThan">
      <formula>-0.03</formula>
    </cfRule>
  </conditionalFormatting>
  <conditionalFormatting sqref="Y55">
    <cfRule type="cellIs" dxfId="167" priority="263" operator="greaterThan">
      <formula>0.03</formula>
    </cfRule>
    <cfRule type="cellIs" dxfId="166" priority="264" stopIfTrue="1" operator="lessThan">
      <formula>-0.03</formula>
    </cfRule>
  </conditionalFormatting>
  <conditionalFormatting sqref="Z55">
    <cfRule type="cellIs" dxfId="165" priority="261" operator="greaterThan">
      <formula>0.03</formula>
    </cfRule>
    <cfRule type="cellIs" dxfId="164" priority="262" stopIfTrue="1" operator="lessThan">
      <formula>-0.03</formula>
    </cfRule>
  </conditionalFormatting>
  <conditionalFormatting sqref="AA55">
    <cfRule type="cellIs" dxfId="163" priority="259" operator="greaterThan">
      <formula>0.03</formula>
    </cfRule>
    <cfRule type="cellIs" dxfId="162" priority="260" stopIfTrue="1" operator="lessThan">
      <formula>-0.03</formula>
    </cfRule>
  </conditionalFormatting>
  <conditionalFormatting sqref="Y59">
    <cfRule type="cellIs" dxfId="161" priority="257" operator="greaterThan">
      <formula>0.03</formula>
    </cfRule>
    <cfRule type="cellIs" dxfId="160" priority="258" stopIfTrue="1" operator="lessThan">
      <formula>-0.03</formula>
    </cfRule>
  </conditionalFormatting>
  <conditionalFormatting sqref="Z59">
    <cfRule type="cellIs" dxfId="159" priority="255" operator="greaterThan">
      <formula>0.03</formula>
    </cfRule>
    <cfRule type="cellIs" dxfId="158" priority="256" stopIfTrue="1" operator="lessThan">
      <formula>-0.03</formula>
    </cfRule>
  </conditionalFormatting>
  <conditionalFormatting sqref="AA59">
    <cfRule type="cellIs" dxfId="157" priority="253" operator="greaterThan">
      <formula>0.03</formula>
    </cfRule>
    <cfRule type="cellIs" dxfId="156" priority="254" stopIfTrue="1" operator="lessThan">
      <formula>-0.03</formula>
    </cfRule>
  </conditionalFormatting>
  <conditionalFormatting sqref="Y50:Z50">
    <cfRule type="cellIs" dxfId="155" priority="251" operator="greaterThan">
      <formula>0.03</formula>
    </cfRule>
    <cfRule type="cellIs" dxfId="154" priority="252" stopIfTrue="1" operator="lessThan">
      <formula>-0.03</formula>
    </cfRule>
  </conditionalFormatting>
  <conditionalFormatting sqref="Y54:Z54">
    <cfRule type="cellIs" dxfId="153" priority="249" operator="greaterThan">
      <formula>0.03</formula>
    </cfRule>
    <cfRule type="cellIs" dxfId="152" priority="250" stopIfTrue="1" operator="lessThan">
      <formula>-0.03</formula>
    </cfRule>
  </conditionalFormatting>
  <conditionalFormatting sqref="Y58:Z58">
    <cfRule type="cellIs" dxfId="151" priority="247" operator="greaterThan">
      <formula>0.03</formula>
    </cfRule>
    <cfRule type="cellIs" dxfId="150" priority="248" stopIfTrue="1" operator="lessThan">
      <formula>-0.03</formula>
    </cfRule>
  </conditionalFormatting>
  <conditionalFormatting sqref="Y62:Z62">
    <cfRule type="cellIs" dxfId="149" priority="245" operator="greaterThan">
      <formula>0.03</formula>
    </cfRule>
    <cfRule type="cellIs" dxfId="148" priority="246" stopIfTrue="1" operator="lessThan">
      <formula>-0.03</formula>
    </cfRule>
  </conditionalFormatting>
  <conditionalFormatting sqref="V63:X78">
    <cfRule type="cellIs" dxfId="147" priority="203" operator="greaterThan">
      <formula>0.03</formula>
    </cfRule>
    <cfRule type="cellIs" dxfId="146" priority="204" stopIfTrue="1" operator="lessThan">
      <formula>-0.03</formula>
    </cfRule>
  </conditionalFormatting>
  <conditionalFormatting sqref="Y63">
    <cfRule type="cellIs" dxfId="145" priority="201" operator="greaterThan">
      <formula>0.03</formula>
    </cfRule>
    <cfRule type="cellIs" dxfId="144" priority="202" stopIfTrue="1" operator="lessThan">
      <formula>-0.03</formula>
    </cfRule>
  </conditionalFormatting>
  <conditionalFormatting sqref="Z63">
    <cfRule type="cellIs" dxfId="143" priority="199" operator="greaterThan">
      <formula>0.03</formula>
    </cfRule>
    <cfRule type="cellIs" dxfId="142" priority="200" stopIfTrue="1" operator="lessThan">
      <formula>-0.03</formula>
    </cfRule>
  </conditionalFormatting>
  <conditionalFormatting sqref="AA63">
    <cfRule type="cellIs" dxfId="141" priority="197" operator="greaterThan">
      <formula>0.03</formula>
    </cfRule>
    <cfRule type="cellIs" dxfId="140" priority="198" stopIfTrue="1" operator="lessThan">
      <formula>-0.03</formula>
    </cfRule>
  </conditionalFormatting>
  <conditionalFormatting sqref="Z67">
    <cfRule type="cellIs" dxfId="139" priority="193" operator="greaterThan">
      <formula>0.03</formula>
    </cfRule>
    <cfRule type="cellIs" dxfId="138" priority="194" stopIfTrue="1" operator="lessThan">
      <formula>-0.03</formula>
    </cfRule>
  </conditionalFormatting>
  <conditionalFormatting sqref="AA67">
    <cfRule type="cellIs" dxfId="137" priority="191" operator="greaterThan">
      <formula>0.03</formula>
    </cfRule>
    <cfRule type="cellIs" dxfId="136" priority="192" stopIfTrue="1" operator="lessThan">
      <formula>-0.03</formula>
    </cfRule>
  </conditionalFormatting>
  <conditionalFormatting sqref="Y71">
    <cfRule type="cellIs" dxfId="135" priority="189" operator="greaterThan">
      <formula>0.03</formula>
    </cfRule>
    <cfRule type="cellIs" dxfId="134" priority="190" stopIfTrue="1" operator="lessThan">
      <formula>-0.03</formula>
    </cfRule>
  </conditionalFormatting>
  <conditionalFormatting sqref="Z71">
    <cfRule type="cellIs" dxfId="133" priority="187" operator="greaterThan">
      <formula>0.03</formula>
    </cfRule>
    <cfRule type="cellIs" dxfId="132" priority="188" stopIfTrue="1" operator="lessThan">
      <formula>-0.03</formula>
    </cfRule>
  </conditionalFormatting>
  <conditionalFormatting sqref="Y67">
    <cfRule type="cellIs" dxfId="131" priority="195" operator="greaterThan">
      <formula>0.03</formula>
    </cfRule>
    <cfRule type="cellIs" dxfId="130" priority="196" stopIfTrue="1" operator="lessThan">
      <formula>-0.03</formula>
    </cfRule>
  </conditionalFormatting>
  <conditionalFormatting sqref="Y75">
    <cfRule type="cellIs" dxfId="129" priority="183" operator="greaterThan">
      <formula>0.03</formula>
    </cfRule>
    <cfRule type="cellIs" dxfId="128" priority="184" stopIfTrue="1" operator="lessThan">
      <formula>-0.03</formula>
    </cfRule>
  </conditionalFormatting>
  <conditionalFormatting sqref="Z75">
    <cfRule type="cellIs" dxfId="127" priority="181" operator="greaterThan">
      <formula>0.03</formula>
    </cfRule>
    <cfRule type="cellIs" dxfId="126" priority="182" stopIfTrue="1" operator="lessThan">
      <formula>-0.03</formula>
    </cfRule>
  </conditionalFormatting>
  <conditionalFormatting sqref="AA75">
    <cfRule type="cellIs" dxfId="125" priority="179" operator="greaterThan">
      <formula>0.03</formula>
    </cfRule>
    <cfRule type="cellIs" dxfId="124" priority="180" stopIfTrue="1" operator="lessThan">
      <formula>-0.03</formula>
    </cfRule>
  </conditionalFormatting>
  <conditionalFormatting sqref="Y66:Z66">
    <cfRule type="cellIs" dxfId="123" priority="177" operator="greaterThan">
      <formula>0.03</formula>
    </cfRule>
    <cfRule type="cellIs" dxfId="122" priority="178" stopIfTrue="1" operator="lessThan">
      <formula>-0.03</formula>
    </cfRule>
  </conditionalFormatting>
  <conditionalFormatting sqref="AA71">
    <cfRule type="cellIs" dxfId="121" priority="185" operator="greaterThan">
      <formula>0.03</formula>
    </cfRule>
    <cfRule type="cellIs" dxfId="120" priority="186" stopIfTrue="1" operator="lessThan">
      <formula>-0.03</formula>
    </cfRule>
  </conditionalFormatting>
  <conditionalFormatting sqref="Y70:Z70">
    <cfRule type="cellIs" dxfId="119" priority="175" operator="greaterThan">
      <formula>0.03</formula>
    </cfRule>
    <cfRule type="cellIs" dxfId="118" priority="176" stopIfTrue="1" operator="lessThan">
      <formula>-0.03</formula>
    </cfRule>
  </conditionalFormatting>
  <conditionalFormatting sqref="Y74:Z74">
    <cfRule type="cellIs" dxfId="117" priority="173" operator="greaterThan">
      <formula>0.03</formula>
    </cfRule>
    <cfRule type="cellIs" dxfId="116" priority="174" stopIfTrue="1" operator="lessThan">
      <formula>-0.03</formula>
    </cfRule>
  </conditionalFormatting>
  <conditionalFormatting sqref="Y78:Z78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V3:X14">
    <cfRule type="cellIs" dxfId="113" priority="545" operator="greaterThan">
      <formula>0.03</formula>
    </cfRule>
    <cfRule type="cellIs" dxfId="112" priority="546" stopIfTrue="1" operator="lessThan">
      <formula>-0.03</formula>
    </cfRule>
  </conditionalFormatting>
  <conditionalFormatting sqref="Y3">
    <cfRule type="cellIs" dxfId="111" priority="543" operator="greaterThan">
      <formula>0.03</formula>
    </cfRule>
    <cfRule type="cellIs" dxfId="110" priority="544" stopIfTrue="1" operator="lessThan">
      <formula>-0.03</formula>
    </cfRule>
  </conditionalFormatting>
  <conditionalFormatting sqref="Z3">
    <cfRule type="cellIs" dxfId="109" priority="541" operator="greaterThan">
      <formula>0.03</formula>
    </cfRule>
    <cfRule type="cellIs" dxfId="108" priority="542" stopIfTrue="1" operator="lessThan">
      <formula>-0.03</formula>
    </cfRule>
  </conditionalFormatting>
  <conditionalFormatting sqref="AA3">
    <cfRule type="cellIs" dxfId="107" priority="539" operator="greaterThan">
      <formula>0.03</formula>
    </cfRule>
    <cfRule type="cellIs" dxfId="106" priority="540" stopIfTrue="1" operator="lessThan">
      <formula>-0.03</formula>
    </cfRule>
  </conditionalFormatting>
  <conditionalFormatting sqref="Y7">
    <cfRule type="cellIs" dxfId="105" priority="537" operator="greaterThan">
      <formula>0.03</formula>
    </cfRule>
    <cfRule type="cellIs" dxfId="104" priority="538" stopIfTrue="1" operator="lessThan">
      <formula>-0.03</formula>
    </cfRule>
  </conditionalFormatting>
  <conditionalFormatting sqref="Z7">
    <cfRule type="cellIs" dxfId="103" priority="535" operator="greaterThan">
      <formula>0.03</formula>
    </cfRule>
    <cfRule type="cellIs" dxfId="102" priority="536" stopIfTrue="1" operator="lessThan">
      <formula>-0.03</formula>
    </cfRule>
  </conditionalFormatting>
  <conditionalFormatting sqref="Y11">
    <cfRule type="cellIs" dxfId="101" priority="531" operator="greaterThan">
      <formula>0.03</formula>
    </cfRule>
    <cfRule type="cellIs" dxfId="100" priority="532" stopIfTrue="1" operator="lessThan">
      <formula>-0.03</formula>
    </cfRule>
  </conditionalFormatting>
  <conditionalFormatting sqref="AA11">
    <cfRule type="cellIs" dxfId="99" priority="527" operator="greaterThan">
      <formula>0.03</formula>
    </cfRule>
    <cfRule type="cellIs" dxfId="98" priority="528" stopIfTrue="1" operator="lessThan">
      <formula>-0.03</formula>
    </cfRule>
  </conditionalFormatting>
  <conditionalFormatting sqref="Y10:Z10">
    <cfRule type="cellIs" dxfId="97" priority="517" operator="greaterThan">
      <formula>0.03</formula>
    </cfRule>
    <cfRule type="cellIs" dxfId="96" priority="518" stopIfTrue="1" operator="lessThan">
      <formula>-0.03</formula>
    </cfRule>
  </conditionalFormatting>
  <conditionalFormatting sqref="V111:AA112">
    <cfRule type="cellIs" dxfId="95" priority="469" operator="greaterThan">
      <formula>0.03</formula>
    </cfRule>
    <cfRule type="cellIs" dxfId="94" priority="470" stopIfTrue="1" operator="lessThan">
      <formula>-0.03</formula>
    </cfRule>
  </conditionalFormatting>
  <conditionalFormatting sqref="V107:AA107 V109:AA109">
    <cfRule type="cellIs" dxfId="93" priority="467" operator="greaterThan">
      <formula>0.03</formula>
    </cfRule>
    <cfRule type="cellIs" dxfId="92" priority="468" stopIfTrue="1" operator="lessThan">
      <formula>-0.03</formula>
    </cfRule>
  </conditionalFormatting>
  <conditionalFormatting sqref="Y19">
    <cfRule type="cellIs" dxfId="91" priority="439" operator="greaterThan">
      <formula>0.03</formula>
    </cfRule>
    <cfRule type="cellIs" dxfId="90" priority="440" stopIfTrue="1" operator="lessThan">
      <formula>-0.03</formula>
    </cfRule>
  </conditionalFormatting>
  <conditionalFormatting sqref="V108:AA108">
    <cfRule type="cellIs" dxfId="89" priority="461" operator="greaterThan">
      <formula>0.03</formula>
    </cfRule>
    <cfRule type="cellIs" dxfId="88" priority="462" stopIfTrue="1" operator="lessThan">
      <formula>-0.03</formula>
    </cfRule>
  </conditionalFormatting>
  <conditionalFormatting sqref="V15:X26">
    <cfRule type="cellIs" dxfId="87" priority="447" operator="greaterThan">
      <formula>0.03</formula>
    </cfRule>
    <cfRule type="cellIs" dxfId="86" priority="448" stopIfTrue="1" operator="lessThan">
      <formula>-0.03</formula>
    </cfRule>
  </conditionalFormatting>
  <conditionalFormatting sqref="Y15">
    <cfRule type="cellIs" dxfId="85" priority="445" operator="greaterThan">
      <formula>0.03</formula>
    </cfRule>
    <cfRule type="cellIs" dxfId="84" priority="446" stopIfTrue="1" operator="lessThan">
      <formula>-0.03</formula>
    </cfRule>
  </conditionalFormatting>
  <conditionalFormatting sqref="V110:AA110">
    <cfRule type="cellIs" dxfId="83" priority="465" operator="greaterThan">
      <formula>0.03</formula>
    </cfRule>
    <cfRule type="cellIs" dxfId="82" priority="466" stopIfTrue="1" operator="lessThan">
      <formula>-0.03</formula>
    </cfRule>
  </conditionalFormatting>
  <conditionalFormatting sqref="V113:AA113">
    <cfRule type="cellIs" dxfId="81" priority="463" operator="greaterThan">
      <formula>0.03</formula>
    </cfRule>
    <cfRule type="cellIs" dxfId="80" priority="464" stopIfTrue="1" operator="lessThan">
      <formula>-0.03</formula>
    </cfRule>
  </conditionalFormatting>
  <conditionalFormatting sqref="Z15">
    <cfRule type="cellIs" dxfId="79" priority="443" operator="greaterThan">
      <formula>0.03</formula>
    </cfRule>
    <cfRule type="cellIs" dxfId="78" priority="444" stopIfTrue="1" operator="lessThan">
      <formula>-0.03</formula>
    </cfRule>
  </conditionalFormatting>
  <conditionalFormatting sqref="AA15">
    <cfRule type="cellIs" dxfId="77" priority="441" operator="greaterThan">
      <formula>0.03</formula>
    </cfRule>
    <cfRule type="cellIs" dxfId="76" priority="442" stopIfTrue="1" operator="lessThan">
      <formula>-0.03</formula>
    </cfRule>
  </conditionalFormatting>
  <conditionalFormatting sqref="Z23">
    <cfRule type="cellIs" dxfId="75" priority="431" operator="greaterThan">
      <formula>0.03</formula>
    </cfRule>
    <cfRule type="cellIs" dxfId="74" priority="432" stopIfTrue="1" operator="lessThan">
      <formula>-0.03</formula>
    </cfRule>
  </conditionalFormatting>
  <conditionalFormatting sqref="AA23">
    <cfRule type="cellIs" dxfId="73" priority="429" operator="greaterThan">
      <formula>0.03</formula>
    </cfRule>
    <cfRule type="cellIs" dxfId="72" priority="430" stopIfTrue="1" operator="lessThan">
      <formula>-0.03</formula>
    </cfRule>
  </conditionalFormatting>
  <conditionalFormatting sqref="Y18:Z18">
    <cfRule type="cellIs" dxfId="71" priority="421" operator="greaterThan">
      <formula>0.03</formula>
    </cfRule>
    <cfRule type="cellIs" dxfId="70" priority="422" stopIfTrue="1" operator="lessThan">
      <formula>-0.03</formula>
    </cfRule>
  </conditionalFormatting>
  <conditionalFormatting sqref="Y22:Z22">
    <cfRule type="cellIs" dxfId="69" priority="419" operator="greaterThan">
      <formula>0.03</formula>
    </cfRule>
    <cfRule type="cellIs" dxfId="68" priority="420" stopIfTrue="1" operator="lessThan">
      <formula>-0.03</formula>
    </cfRule>
  </conditionalFormatting>
  <conditionalFormatting sqref="Y26:Z26">
    <cfRule type="cellIs" dxfId="67" priority="417" operator="greaterThan">
      <formula>0.03</formula>
    </cfRule>
    <cfRule type="cellIs" dxfId="66" priority="418" stopIfTrue="1" operator="lessThan">
      <formula>-0.03</formula>
    </cfRule>
  </conditionalFormatting>
  <conditionalFormatting sqref="V27:X30">
    <cfRule type="cellIs" dxfId="65" priority="373" operator="greaterThan">
      <formula>0.03</formula>
    </cfRule>
    <cfRule type="cellIs" dxfId="64" priority="374" stopIfTrue="1" operator="lessThan">
      <formula>-0.03</formula>
    </cfRule>
  </conditionalFormatting>
  <conditionalFormatting sqref="Y27">
    <cfRule type="cellIs" dxfId="63" priority="371" operator="greaterThan">
      <formula>0.03</formula>
    </cfRule>
    <cfRule type="cellIs" dxfId="62" priority="372" stopIfTrue="1" operator="lessThan">
      <formula>-0.03</formula>
    </cfRule>
  </conditionalFormatting>
  <conditionalFormatting sqref="Z27">
    <cfRule type="cellIs" dxfId="61" priority="369" operator="greaterThan">
      <formula>0.03</formula>
    </cfRule>
    <cfRule type="cellIs" dxfId="60" priority="370" stopIfTrue="1" operator="lessThan">
      <formula>-0.03</formula>
    </cfRule>
  </conditionalFormatting>
  <conditionalFormatting sqref="Y102:Z102">
    <cfRule type="cellIs" dxfId="59" priority="99" operator="greaterThan">
      <formula>0.03</formula>
    </cfRule>
    <cfRule type="cellIs" dxfId="58" priority="100" stopIfTrue="1" operator="lessThan">
      <formula>-0.03</formula>
    </cfRule>
  </conditionalFormatting>
  <conditionalFormatting sqref="Y98:Z98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Y106:Z106">
    <cfRule type="cellIs" dxfId="55" priority="97" operator="greaterThan">
      <formula>0.03</formula>
    </cfRule>
    <cfRule type="cellIs" dxfId="54" priority="98" stopIfTrue="1" operator="lessThan">
      <formula>-0.03</formula>
    </cfRule>
  </conditionalFormatting>
  <conditionalFormatting sqref="Z83">
    <cfRule type="cellIs" dxfId="53" priority="45" operator="greaterThan">
      <formula>0.03</formula>
    </cfRule>
    <cfRule type="cellIs" dxfId="52" priority="46" stopIfTrue="1" operator="lessThan">
      <formula>-0.03</formula>
    </cfRule>
  </conditionalFormatting>
  <conditionalFormatting sqref="Z87">
    <cfRule type="cellIs" dxfId="51" priority="39" operator="greaterThan">
      <formula>0.03</formula>
    </cfRule>
    <cfRule type="cellIs" dxfId="50" priority="40" stopIfTrue="1" operator="lessThan">
      <formula>-0.03</formula>
    </cfRule>
  </conditionalFormatting>
  <conditionalFormatting sqref="Y83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V79:X90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AA79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Y87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AA87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Y82:Z82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86:Z86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Y79">
    <cfRule type="cellIs" dxfId="35" priority="53" operator="greaterThan">
      <formula>0.03</formula>
    </cfRule>
    <cfRule type="cellIs" dxfId="34" priority="54" stopIfTrue="1" operator="lessThan">
      <formula>-0.03</formula>
    </cfRule>
  </conditionalFormatting>
  <conditionalFormatting sqref="Z79">
    <cfRule type="cellIs" dxfId="33" priority="51" operator="greaterThan">
      <formula>0.03</formula>
    </cfRule>
    <cfRule type="cellIs" dxfId="32" priority="52" stopIfTrue="1" operator="lessThan">
      <formula>-0.03</formula>
    </cfRule>
  </conditionalFormatting>
  <conditionalFormatting sqref="AA83">
    <cfRule type="cellIs" dxfId="31" priority="43" operator="greaterThan">
      <formula>0.03</formula>
    </cfRule>
    <cfRule type="cellIs" dxfId="30" priority="44" stopIfTrue="1" operator="lessThan">
      <formula>-0.03</formula>
    </cfRule>
  </conditionalFormatting>
  <conditionalFormatting sqref="Y90:Z90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Y94:Z94">
    <cfRule type="cellIs" dxfId="27" priority="103" operator="greaterThan">
      <formula>0.03</formula>
    </cfRule>
    <cfRule type="cellIs" dxfId="26" priority="104" stopIfTrue="1" operator="lessThan">
      <formula>-0.03</formula>
    </cfRule>
  </conditionalFormatting>
  <conditionalFormatting sqref="Z103">
    <cfRule type="cellIs" dxfId="25" priority="107" operator="greaterThan">
      <formula>0.03</formula>
    </cfRule>
    <cfRule type="cellIs" dxfId="24" priority="108" stopIfTrue="1" operator="lessThan">
      <formula>-0.03</formula>
    </cfRule>
  </conditionalFormatting>
  <conditionalFormatting sqref="Y103">
    <cfRule type="cellIs" dxfId="23" priority="109" operator="greaterThan">
      <formula>0.03</formula>
    </cfRule>
    <cfRule type="cellIs" dxfId="22" priority="110" stopIfTrue="1" operator="lessThan">
      <formula>-0.03</formula>
    </cfRule>
  </conditionalFormatting>
  <conditionalFormatting sqref="AA103">
    <cfRule type="cellIs" dxfId="21" priority="105" operator="greaterThan">
      <formula>0.03</formula>
    </cfRule>
    <cfRule type="cellIs" dxfId="20" priority="10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16"/>
  <sheetViews>
    <sheetView workbookViewId="0">
      <selection activeCell="B1" sqref="B1"/>
    </sheetView>
  </sheetViews>
  <sheetFormatPr defaultColWidth="9" defaultRowHeight="15.75"/>
  <cols>
    <col min="1" max="1" width="57.625" customWidth="1"/>
  </cols>
  <sheetData>
    <row r="1" spans="1:1">
      <c r="A1" t="s">
        <v>78</v>
      </c>
    </row>
    <row r="2" spans="1:1">
      <c r="A2" t="s">
        <v>79</v>
      </c>
    </row>
    <row r="3" spans="1:1">
      <c r="A3" t="s">
        <v>80</v>
      </c>
    </row>
    <row r="4" spans="1:1">
      <c r="A4" t="s">
        <v>81</v>
      </c>
    </row>
    <row r="5" spans="1:1">
      <c r="A5" t="s">
        <v>423</v>
      </c>
    </row>
    <row r="6" spans="1:1">
      <c r="A6" t="s">
        <v>424</v>
      </c>
    </row>
    <row r="7" spans="1:1">
      <c r="A7" t="s">
        <v>425</v>
      </c>
    </row>
    <row r="8" spans="1:1">
      <c r="A8" t="s">
        <v>426</v>
      </c>
    </row>
    <row r="9" spans="1:1">
      <c r="A9" t="s">
        <v>82</v>
      </c>
    </row>
    <row r="10" spans="1:1">
      <c r="A10" t="s">
        <v>83</v>
      </c>
    </row>
    <row r="11" spans="1:1">
      <c r="A11" t="s">
        <v>84</v>
      </c>
    </row>
    <row r="12" spans="1:1">
      <c r="A12" t="s">
        <v>85</v>
      </c>
    </row>
    <row r="13" spans="1:1">
      <c r="A13" t="s">
        <v>427</v>
      </c>
    </row>
    <row r="14" spans="1:1">
      <c r="A14" t="s">
        <v>428</v>
      </c>
    </row>
    <row r="15" spans="1:1">
      <c r="A15" t="s">
        <v>429</v>
      </c>
    </row>
    <row r="16" spans="1:1">
      <c r="A16" t="s">
        <v>430</v>
      </c>
    </row>
    <row r="17" spans="1:1">
      <c r="A17" t="s">
        <v>86</v>
      </c>
    </row>
    <row r="18" spans="1:1">
      <c r="A18" t="s">
        <v>87</v>
      </c>
    </row>
    <row r="19" spans="1:1">
      <c r="A19" t="s">
        <v>88</v>
      </c>
    </row>
    <row r="20" spans="1:1">
      <c r="A20" t="s">
        <v>89</v>
      </c>
    </row>
    <row r="21" spans="1:1">
      <c r="A21" t="s">
        <v>431</v>
      </c>
    </row>
    <row r="22" spans="1:1">
      <c r="A22" t="s">
        <v>432</v>
      </c>
    </row>
    <row r="23" spans="1:1">
      <c r="A23" t="s">
        <v>433</v>
      </c>
    </row>
    <row r="24" spans="1:1">
      <c r="A24" t="s">
        <v>434</v>
      </c>
    </row>
    <row r="25" spans="1:1">
      <c r="A25" t="s">
        <v>435</v>
      </c>
    </row>
    <row r="26" spans="1:1">
      <c r="A26" t="s">
        <v>436</v>
      </c>
    </row>
    <row r="27" spans="1:1">
      <c r="A27" t="s">
        <v>437</v>
      </c>
    </row>
    <row r="28" spans="1:1">
      <c r="A28" t="s">
        <v>438</v>
      </c>
    </row>
    <row r="29" spans="1:1">
      <c r="A29" t="s">
        <v>439</v>
      </c>
    </row>
    <row r="30" spans="1:1">
      <c r="A30" t="s">
        <v>440</v>
      </c>
    </row>
    <row r="31" spans="1:1">
      <c r="A31" t="s">
        <v>441</v>
      </c>
    </row>
    <row r="32" spans="1:1">
      <c r="A32" t="s">
        <v>442</v>
      </c>
    </row>
    <row r="33" spans="1:1">
      <c r="A33" t="s">
        <v>90</v>
      </c>
    </row>
    <row r="34" spans="1:1">
      <c r="A34" t="s">
        <v>91</v>
      </c>
    </row>
    <row r="35" spans="1:1">
      <c r="A35" t="s">
        <v>92</v>
      </c>
    </row>
    <row r="36" spans="1:1">
      <c r="A36" t="s">
        <v>93</v>
      </c>
    </row>
    <row r="37" spans="1:1">
      <c r="A37" t="s">
        <v>94</v>
      </c>
    </row>
    <row r="38" spans="1:1">
      <c r="A38" t="s">
        <v>95</v>
      </c>
    </row>
    <row r="39" spans="1:1">
      <c r="A39" t="s">
        <v>96</v>
      </c>
    </row>
    <row r="40" spans="1:1">
      <c r="A40" t="s">
        <v>97</v>
      </c>
    </row>
    <row r="41" spans="1:1">
      <c r="A41" t="s">
        <v>98</v>
      </c>
    </row>
    <row r="42" spans="1:1">
      <c r="A42" t="s">
        <v>99</v>
      </c>
    </row>
    <row r="43" spans="1:1">
      <c r="A43" t="s">
        <v>100</v>
      </c>
    </row>
    <row r="44" spans="1:1">
      <c r="A44" t="s">
        <v>101</v>
      </c>
    </row>
    <row r="45" spans="1:1">
      <c r="A45" t="s">
        <v>102</v>
      </c>
    </row>
    <row r="46" spans="1:1">
      <c r="A46" t="s">
        <v>103</v>
      </c>
    </row>
    <row r="47" spans="1:1">
      <c r="A47" t="s">
        <v>104</v>
      </c>
    </row>
    <row r="48" spans="1:1">
      <c r="A48" t="s">
        <v>105</v>
      </c>
    </row>
    <row r="49" spans="1:1">
      <c r="A49" t="s">
        <v>106</v>
      </c>
    </row>
    <row r="50" spans="1:1">
      <c r="A50" t="s">
        <v>107</v>
      </c>
    </row>
    <row r="51" spans="1:1">
      <c r="A51" t="s">
        <v>108</v>
      </c>
    </row>
    <row r="52" spans="1:1">
      <c r="A52" t="s">
        <v>109</v>
      </c>
    </row>
    <row r="53" spans="1:1">
      <c r="A53" t="s">
        <v>110</v>
      </c>
    </row>
    <row r="54" spans="1:1">
      <c r="A54" t="s">
        <v>111</v>
      </c>
    </row>
    <row r="55" spans="1:1">
      <c r="A55" t="s">
        <v>112</v>
      </c>
    </row>
    <row r="56" spans="1:1">
      <c r="A56" t="s">
        <v>113</v>
      </c>
    </row>
    <row r="57" spans="1:1">
      <c r="A57" t="s">
        <v>114</v>
      </c>
    </row>
    <row r="58" spans="1:1">
      <c r="A58" t="s">
        <v>115</v>
      </c>
    </row>
    <row r="59" spans="1:1">
      <c r="A59" t="s">
        <v>116</v>
      </c>
    </row>
    <row r="60" spans="1:1">
      <c r="A60" t="s">
        <v>117</v>
      </c>
    </row>
    <row r="61" spans="1:1">
      <c r="A61" t="s">
        <v>118</v>
      </c>
    </row>
    <row r="62" spans="1:1">
      <c r="A62" t="s">
        <v>119</v>
      </c>
    </row>
    <row r="63" spans="1:1">
      <c r="A63" t="s">
        <v>120</v>
      </c>
    </row>
    <row r="64" spans="1:1">
      <c r="A64" t="s">
        <v>121</v>
      </c>
    </row>
    <row r="65" spans="1:1">
      <c r="A65" t="s">
        <v>122</v>
      </c>
    </row>
    <row r="66" spans="1:1">
      <c r="A66" t="s">
        <v>123</v>
      </c>
    </row>
    <row r="67" spans="1:1">
      <c r="A67" t="s">
        <v>124</v>
      </c>
    </row>
    <row r="68" spans="1:1">
      <c r="A68" t="s">
        <v>125</v>
      </c>
    </row>
    <row r="69" spans="1:1">
      <c r="A69" t="s">
        <v>126</v>
      </c>
    </row>
    <row r="70" spans="1:1">
      <c r="A70" t="s">
        <v>127</v>
      </c>
    </row>
    <row r="71" spans="1:1">
      <c r="A71" t="s">
        <v>128</v>
      </c>
    </row>
    <row r="72" spans="1:1">
      <c r="A72" t="s">
        <v>129</v>
      </c>
    </row>
    <row r="73" spans="1:1">
      <c r="A73" t="s">
        <v>130</v>
      </c>
    </row>
    <row r="74" spans="1:1">
      <c r="A74" t="s">
        <v>131</v>
      </c>
    </row>
    <row r="75" spans="1:1">
      <c r="A75" t="s">
        <v>132</v>
      </c>
    </row>
    <row r="76" spans="1:1">
      <c r="A76" t="s">
        <v>133</v>
      </c>
    </row>
    <row r="77" spans="1:1">
      <c r="A77" t="s">
        <v>134</v>
      </c>
    </row>
    <row r="78" spans="1:1">
      <c r="A78" t="s">
        <v>135</v>
      </c>
    </row>
    <row r="79" spans="1:1">
      <c r="A79" t="s">
        <v>136</v>
      </c>
    </row>
    <row r="80" spans="1:1">
      <c r="A80" t="s">
        <v>137</v>
      </c>
    </row>
    <row r="81" spans="1:1">
      <c r="A81" t="s">
        <v>138</v>
      </c>
    </row>
    <row r="82" spans="1:1">
      <c r="A82" t="s">
        <v>139</v>
      </c>
    </row>
    <row r="83" spans="1:1">
      <c r="A83" t="s">
        <v>140</v>
      </c>
    </row>
    <row r="84" spans="1:1">
      <c r="A84" t="s">
        <v>141</v>
      </c>
    </row>
    <row r="85" spans="1:1">
      <c r="A85" t="s">
        <v>142</v>
      </c>
    </row>
    <row r="86" spans="1:1">
      <c r="A86" t="s">
        <v>143</v>
      </c>
    </row>
    <row r="87" spans="1:1">
      <c r="A87" t="s">
        <v>144</v>
      </c>
    </row>
    <row r="88" spans="1:1">
      <c r="A88" t="s">
        <v>145</v>
      </c>
    </row>
    <row r="89" spans="1:1">
      <c r="A89" t="s">
        <v>146</v>
      </c>
    </row>
    <row r="90" spans="1:1">
      <c r="A90" t="s">
        <v>147</v>
      </c>
    </row>
    <row r="91" spans="1:1">
      <c r="A91" t="s">
        <v>148</v>
      </c>
    </row>
    <row r="92" spans="1:1">
      <c r="A92" t="s">
        <v>149</v>
      </c>
    </row>
    <row r="93" spans="1:1">
      <c r="A93" t="s">
        <v>150</v>
      </c>
    </row>
    <row r="94" spans="1:1">
      <c r="A94" t="s">
        <v>151</v>
      </c>
    </row>
    <row r="95" spans="1:1">
      <c r="A95" t="s">
        <v>152</v>
      </c>
    </row>
    <row r="96" spans="1:1">
      <c r="A96" t="s">
        <v>153</v>
      </c>
    </row>
    <row r="97" spans="1:1">
      <c r="A97" t="s">
        <v>154</v>
      </c>
    </row>
    <row r="98" spans="1:1">
      <c r="A98" t="s">
        <v>155</v>
      </c>
    </row>
    <row r="99" spans="1:1">
      <c r="A99" t="s">
        <v>156</v>
      </c>
    </row>
    <row r="100" spans="1:1">
      <c r="A100" t="s">
        <v>157</v>
      </c>
    </row>
    <row r="101" spans="1:1">
      <c r="A101" t="s">
        <v>158</v>
      </c>
    </row>
    <row r="102" spans="1:1">
      <c r="A102" t="s">
        <v>159</v>
      </c>
    </row>
    <row r="103" spans="1:1">
      <c r="A103" t="s">
        <v>160</v>
      </c>
    </row>
    <row r="104" spans="1:1">
      <c r="A104" t="s">
        <v>161</v>
      </c>
    </row>
    <row r="105" spans="1:1">
      <c r="A105" t="s">
        <v>162</v>
      </c>
    </row>
    <row r="106" spans="1:1">
      <c r="A106" t="s">
        <v>163</v>
      </c>
    </row>
    <row r="107" spans="1:1">
      <c r="A107" t="s">
        <v>164</v>
      </c>
    </row>
    <row r="108" spans="1:1">
      <c r="A108" t="s">
        <v>165</v>
      </c>
    </row>
    <row r="109" spans="1:1">
      <c r="A109" t="s">
        <v>455</v>
      </c>
    </row>
    <row r="110" spans="1:1">
      <c r="A110" t="s">
        <v>456</v>
      </c>
    </row>
    <row r="111" spans="1:1">
      <c r="A111" t="s">
        <v>457</v>
      </c>
    </row>
    <row r="112" spans="1:1">
      <c r="A112" t="s">
        <v>458</v>
      </c>
    </row>
    <row r="113" spans="1:1">
      <c r="A113" t="s">
        <v>166</v>
      </c>
    </row>
    <row r="114" spans="1:1">
      <c r="A114" t="s">
        <v>167</v>
      </c>
    </row>
    <row r="115" spans="1:1">
      <c r="A115" t="s">
        <v>168</v>
      </c>
    </row>
    <row r="116" spans="1:1">
      <c r="A116" t="s">
        <v>169</v>
      </c>
    </row>
    <row r="117" spans="1:1">
      <c r="A117" t="s">
        <v>447</v>
      </c>
    </row>
    <row r="118" spans="1:1">
      <c r="A118" t="s">
        <v>448</v>
      </c>
    </row>
    <row r="119" spans="1:1">
      <c r="A119" t="s">
        <v>449</v>
      </c>
    </row>
    <row r="120" spans="1:1">
      <c r="A120" t="s">
        <v>450</v>
      </c>
    </row>
    <row r="121" spans="1:1">
      <c r="A121" t="s">
        <v>170</v>
      </c>
    </row>
    <row r="122" spans="1:1">
      <c r="A122" t="s">
        <v>171</v>
      </c>
    </row>
    <row r="123" spans="1:1">
      <c r="A123" t="s">
        <v>172</v>
      </c>
    </row>
    <row r="124" spans="1:1">
      <c r="A124" t="s">
        <v>173</v>
      </c>
    </row>
    <row r="125" spans="1:1">
      <c r="A125" t="s">
        <v>451</v>
      </c>
    </row>
    <row r="126" spans="1:1">
      <c r="A126" t="s">
        <v>452</v>
      </c>
    </row>
    <row r="127" spans="1:1">
      <c r="A127" t="s">
        <v>453</v>
      </c>
    </row>
    <row r="128" spans="1:1">
      <c r="A128" t="s">
        <v>454</v>
      </c>
    </row>
    <row r="129" spans="1:1">
      <c r="A129" t="s">
        <v>459</v>
      </c>
    </row>
    <row r="130" spans="1:1">
      <c r="A130" t="s">
        <v>460</v>
      </c>
    </row>
    <row r="131" spans="1:1">
      <c r="A131" t="s">
        <v>461</v>
      </c>
    </row>
    <row r="132" spans="1:1">
      <c r="A132" t="s">
        <v>462</v>
      </c>
    </row>
    <row r="133" spans="1:1">
      <c r="A133" t="s">
        <v>479</v>
      </c>
    </row>
    <row r="134" spans="1:1">
      <c r="A134" t="s">
        <v>480</v>
      </c>
    </row>
    <row r="135" spans="1:1">
      <c r="A135" t="s">
        <v>481</v>
      </c>
    </row>
    <row r="136" spans="1:1">
      <c r="A136" t="s">
        <v>482</v>
      </c>
    </row>
    <row r="137" spans="1:1">
      <c r="A137" t="s">
        <v>174</v>
      </c>
    </row>
    <row r="138" spans="1:1">
      <c r="A138" t="s">
        <v>175</v>
      </c>
    </row>
    <row r="139" spans="1:1">
      <c r="A139" t="s">
        <v>176</v>
      </c>
    </row>
    <row r="140" spans="1:1">
      <c r="A140" t="s">
        <v>177</v>
      </c>
    </row>
    <row r="141" spans="1:1">
      <c r="A141" t="s">
        <v>178</v>
      </c>
    </row>
    <row r="142" spans="1:1">
      <c r="A142" t="s">
        <v>179</v>
      </c>
    </row>
    <row r="143" spans="1:1">
      <c r="A143" t="s">
        <v>180</v>
      </c>
    </row>
    <row r="144" spans="1:1">
      <c r="A144" t="s">
        <v>181</v>
      </c>
    </row>
    <row r="145" spans="1:1">
      <c r="A145" t="s">
        <v>182</v>
      </c>
    </row>
    <row r="146" spans="1:1">
      <c r="A146" t="s">
        <v>183</v>
      </c>
    </row>
    <row r="147" spans="1:1">
      <c r="A147" t="s">
        <v>184</v>
      </c>
    </row>
    <row r="148" spans="1:1">
      <c r="A148" t="s">
        <v>185</v>
      </c>
    </row>
    <row r="149" spans="1:1">
      <c r="A149" t="s">
        <v>186</v>
      </c>
    </row>
    <row r="150" spans="1:1">
      <c r="A150" t="s">
        <v>187</v>
      </c>
    </row>
    <row r="151" spans="1:1">
      <c r="A151" t="s">
        <v>188</v>
      </c>
    </row>
    <row r="152" spans="1:1">
      <c r="A152" t="s">
        <v>189</v>
      </c>
    </row>
    <row r="153" spans="1:1">
      <c r="A153" t="s">
        <v>190</v>
      </c>
    </row>
    <row r="154" spans="1:1">
      <c r="A154" t="s">
        <v>191</v>
      </c>
    </row>
    <row r="155" spans="1:1">
      <c r="A155" t="s">
        <v>192</v>
      </c>
    </row>
    <row r="156" spans="1:1">
      <c r="A156" t="s">
        <v>193</v>
      </c>
    </row>
    <row r="157" spans="1:1">
      <c r="A157" t="s">
        <v>194</v>
      </c>
    </row>
    <row r="158" spans="1:1">
      <c r="A158" t="s">
        <v>195</v>
      </c>
    </row>
    <row r="159" spans="1:1">
      <c r="A159" t="s">
        <v>196</v>
      </c>
    </row>
    <row r="160" spans="1:1">
      <c r="A160" t="s">
        <v>197</v>
      </c>
    </row>
    <row r="161" spans="1:1">
      <c r="A161" t="s">
        <v>198</v>
      </c>
    </row>
    <row r="162" spans="1:1">
      <c r="A162" t="s">
        <v>199</v>
      </c>
    </row>
    <row r="163" spans="1:1">
      <c r="A163" t="s">
        <v>200</v>
      </c>
    </row>
    <row r="164" spans="1:1">
      <c r="A164" t="s">
        <v>201</v>
      </c>
    </row>
    <row r="165" spans="1:1">
      <c r="A165" t="s">
        <v>202</v>
      </c>
    </row>
    <row r="166" spans="1:1">
      <c r="A166" t="s">
        <v>203</v>
      </c>
    </row>
    <row r="167" spans="1:1">
      <c r="A167" t="s">
        <v>204</v>
      </c>
    </row>
    <row r="168" spans="1:1">
      <c r="A168" t="s">
        <v>205</v>
      </c>
    </row>
    <row r="169" spans="1:1">
      <c r="A169" t="s">
        <v>206</v>
      </c>
    </row>
    <row r="170" spans="1:1">
      <c r="A170" t="s">
        <v>207</v>
      </c>
    </row>
    <row r="171" spans="1:1">
      <c r="A171" t="s">
        <v>208</v>
      </c>
    </row>
    <row r="172" spans="1:1">
      <c r="A172" t="s">
        <v>209</v>
      </c>
    </row>
    <row r="173" spans="1:1">
      <c r="A173" t="s">
        <v>210</v>
      </c>
    </row>
    <row r="174" spans="1:1">
      <c r="A174" t="s">
        <v>211</v>
      </c>
    </row>
    <row r="175" spans="1:1">
      <c r="A175" t="s">
        <v>212</v>
      </c>
    </row>
    <row r="176" spans="1:1">
      <c r="A176" t="s">
        <v>213</v>
      </c>
    </row>
    <row r="177" spans="1:7">
      <c r="A177" t="s">
        <v>214</v>
      </c>
      <c r="B177" s="80"/>
      <c r="C177" s="80"/>
      <c r="D177" s="80"/>
      <c r="E177" s="80"/>
      <c r="F177" s="80"/>
      <c r="G177" s="80"/>
    </row>
    <row r="178" spans="1:7">
      <c r="A178" t="s">
        <v>215</v>
      </c>
      <c r="B178" s="80"/>
      <c r="C178" s="80"/>
      <c r="D178" s="80"/>
      <c r="E178" s="80"/>
      <c r="F178" s="80"/>
      <c r="G178" s="80"/>
    </row>
    <row r="179" spans="1:7">
      <c r="A179" t="s">
        <v>216</v>
      </c>
      <c r="B179" s="80"/>
      <c r="C179" s="80"/>
      <c r="D179" s="80"/>
      <c r="E179" s="80"/>
      <c r="F179" s="80"/>
      <c r="G179" s="80"/>
    </row>
    <row r="180" spans="1:7">
      <c r="A180" t="s">
        <v>217</v>
      </c>
      <c r="B180" s="80"/>
      <c r="C180" s="80"/>
      <c r="D180" s="80"/>
      <c r="E180" s="80"/>
      <c r="F180" s="80"/>
      <c r="G180" s="80"/>
    </row>
    <row r="181" spans="1:7">
      <c r="A181" t="s">
        <v>218</v>
      </c>
      <c r="B181" s="80"/>
      <c r="C181" s="80"/>
      <c r="D181" s="80"/>
      <c r="E181" s="80"/>
      <c r="F181" s="80"/>
      <c r="G181" s="80"/>
    </row>
    <row r="182" spans="1:7">
      <c r="A182" t="s">
        <v>219</v>
      </c>
      <c r="B182" s="80"/>
      <c r="C182" s="80"/>
      <c r="D182" s="80"/>
      <c r="E182" s="80"/>
      <c r="F182" s="80"/>
      <c r="G182" s="80"/>
    </row>
    <row r="183" spans="1:7">
      <c r="A183" t="s">
        <v>220</v>
      </c>
      <c r="B183" s="80"/>
      <c r="C183" s="80"/>
      <c r="D183" s="80"/>
      <c r="E183" s="80"/>
      <c r="F183" s="80"/>
      <c r="G183" s="80"/>
    </row>
    <row r="184" spans="1:7">
      <c r="A184" t="s">
        <v>221</v>
      </c>
      <c r="B184" s="80"/>
      <c r="C184" s="80"/>
      <c r="D184" s="80"/>
      <c r="E184" s="80"/>
      <c r="F184" s="80"/>
      <c r="G184" s="80"/>
    </row>
    <row r="185" spans="1:7">
      <c r="A185" t="s">
        <v>222</v>
      </c>
      <c r="B185" s="80"/>
      <c r="C185" s="80"/>
      <c r="D185" s="80"/>
      <c r="E185" s="80"/>
      <c r="F185" s="80"/>
      <c r="G185" s="80"/>
    </row>
    <row r="186" spans="1:7">
      <c r="A186" t="s">
        <v>223</v>
      </c>
      <c r="B186" s="80"/>
      <c r="C186" s="80"/>
      <c r="D186" s="80"/>
      <c r="E186" s="80"/>
      <c r="F186" s="80"/>
      <c r="G186" s="80"/>
    </row>
    <row r="187" spans="1:7">
      <c r="A187" t="s">
        <v>224</v>
      </c>
      <c r="B187" s="80"/>
      <c r="C187" s="80"/>
      <c r="D187" s="80"/>
      <c r="E187" s="80"/>
      <c r="F187" s="80"/>
      <c r="G187" s="80"/>
    </row>
    <row r="188" spans="1:7">
      <c r="A188" t="s">
        <v>225</v>
      </c>
      <c r="B188" s="80"/>
      <c r="C188" s="80"/>
      <c r="D188" s="80"/>
      <c r="E188" s="80"/>
      <c r="F188" s="80"/>
      <c r="G188" s="80"/>
    </row>
    <row r="189" spans="1:7">
      <c r="A189" t="s">
        <v>226</v>
      </c>
      <c r="B189" s="80"/>
      <c r="C189" s="80"/>
      <c r="D189" s="80"/>
      <c r="E189" s="80"/>
      <c r="F189" s="80"/>
      <c r="G189" s="80"/>
    </row>
    <row r="190" spans="1:7">
      <c r="A190" t="s">
        <v>227</v>
      </c>
      <c r="B190" s="80"/>
      <c r="C190" s="80"/>
      <c r="D190" s="80"/>
      <c r="E190" s="80"/>
      <c r="F190" s="80"/>
      <c r="G190" s="80"/>
    </row>
    <row r="191" spans="1:7">
      <c r="A191" t="s">
        <v>228</v>
      </c>
      <c r="B191" s="80"/>
      <c r="C191" s="80"/>
      <c r="D191" s="80"/>
      <c r="E191" s="80"/>
      <c r="F191" s="80"/>
      <c r="G191" s="80"/>
    </row>
    <row r="192" spans="1:7">
      <c r="A192" t="s">
        <v>229</v>
      </c>
      <c r="B192" s="80"/>
      <c r="C192" s="80"/>
      <c r="D192" s="80"/>
      <c r="E192" s="80"/>
      <c r="F192" s="80"/>
      <c r="G192" s="80"/>
    </row>
    <row r="193" spans="1:7">
      <c r="A193" t="s">
        <v>230</v>
      </c>
      <c r="B193" s="80"/>
      <c r="C193" s="80"/>
      <c r="D193" s="80"/>
      <c r="E193" s="80"/>
      <c r="F193" s="80"/>
      <c r="G193" s="80"/>
    </row>
    <row r="194" spans="1:7">
      <c r="A194" t="s">
        <v>231</v>
      </c>
      <c r="B194" s="80"/>
      <c r="C194" s="80"/>
      <c r="D194" s="80"/>
      <c r="E194" s="80"/>
      <c r="F194" s="80"/>
      <c r="G194" s="80"/>
    </row>
    <row r="195" spans="1:7">
      <c r="A195" t="s">
        <v>232</v>
      </c>
      <c r="B195" s="80"/>
      <c r="C195" s="80"/>
      <c r="D195" s="80"/>
      <c r="E195" s="80"/>
      <c r="F195" s="80"/>
      <c r="G195" s="80"/>
    </row>
    <row r="196" spans="1:7">
      <c r="A196" t="s">
        <v>233</v>
      </c>
      <c r="B196" s="80"/>
      <c r="C196" s="80"/>
      <c r="D196" s="80"/>
      <c r="E196" s="80"/>
      <c r="F196" s="80"/>
      <c r="G196" s="80"/>
    </row>
    <row r="197" spans="1:7">
      <c r="A197" t="s">
        <v>234</v>
      </c>
      <c r="B197" s="80"/>
      <c r="C197" s="80"/>
      <c r="D197" s="80"/>
      <c r="E197" s="80"/>
      <c r="F197" s="80"/>
      <c r="G197" s="80"/>
    </row>
    <row r="198" spans="1:7">
      <c r="A198" t="s">
        <v>235</v>
      </c>
      <c r="B198" s="80"/>
      <c r="C198" s="80"/>
      <c r="D198" s="80"/>
      <c r="E198" s="80"/>
      <c r="F198" s="80"/>
      <c r="G198" s="80"/>
    </row>
    <row r="199" spans="1:7">
      <c r="A199" t="s">
        <v>236</v>
      </c>
      <c r="B199" s="80"/>
      <c r="C199" s="80"/>
      <c r="D199" s="80"/>
      <c r="E199" s="80"/>
      <c r="F199" s="80"/>
      <c r="G199" s="80"/>
    </row>
    <row r="200" spans="1:7">
      <c r="A200" t="s">
        <v>237</v>
      </c>
      <c r="B200" s="80"/>
      <c r="C200" s="80"/>
      <c r="D200" s="80"/>
      <c r="E200" s="80"/>
      <c r="F200" s="80"/>
      <c r="G200" s="80"/>
    </row>
    <row r="201" spans="1:7">
      <c r="A201" t="s">
        <v>238</v>
      </c>
      <c r="B201" s="80"/>
      <c r="C201" s="80"/>
      <c r="D201" s="80"/>
      <c r="E201" s="80"/>
      <c r="F201" s="80"/>
      <c r="G201" s="80"/>
    </row>
    <row r="202" spans="1:7">
      <c r="A202" t="s">
        <v>239</v>
      </c>
      <c r="B202" s="80"/>
      <c r="C202" s="80"/>
      <c r="D202" s="80"/>
      <c r="E202" s="80"/>
      <c r="F202" s="80"/>
      <c r="G202" s="80"/>
    </row>
    <row r="203" spans="1:7">
      <c r="A203" t="s">
        <v>240</v>
      </c>
      <c r="B203" s="80"/>
      <c r="C203" s="80"/>
      <c r="D203" s="80"/>
      <c r="E203" s="80"/>
      <c r="F203" s="80"/>
      <c r="G203" s="80"/>
    </row>
    <row r="204" spans="1:7">
      <c r="A204" t="s">
        <v>241</v>
      </c>
      <c r="B204" s="80"/>
      <c r="C204" s="80"/>
      <c r="D204" s="80"/>
      <c r="E204" s="80"/>
      <c r="F204" s="80"/>
      <c r="G204" s="80"/>
    </row>
    <row r="205" spans="1:7">
      <c r="A205" t="s">
        <v>242</v>
      </c>
      <c r="B205" s="80"/>
      <c r="C205" s="80"/>
      <c r="D205" s="80"/>
      <c r="E205" s="80"/>
      <c r="F205" s="80"/>
      <c r="G205" s="80"/>
    </row>
    <row r="206" spans="1:7">
      <c r="A206" t="s">
        <v>243</v>
      </c>
      <c r="B206" s="80"/>
      <c r="C206" s="80"/>
      <c r="D206" s="80"/>
      <c r="E206" s="80"/>
      <c r="F206" s="80"/>
      <c r="G206" s="80"/>
    </row>
    <row r="207" spans="1:7">
      <c r="A207" t="s">
        <v>244</v>
      </c>
      <c r="B207" s="80"/>
      <c r="C207" s="80"/>
      <c r="D207" s="80"/>
      <c r="E207" s="80"/>
      <c r="F207" s="80"/>
      <c r="G207" s="80"/>
    </row>
    <row r="208" spans="1:7">
      <c r="A208" t="s">
        <v>245</v>
      </c>
      <c r="B208" s="80"/>
      <c r="C208" s="80"/>
      <c r="D208" s="80"/>
      <c r="E208" s="80"/>
      <c r="F208" s="80"/>
      <c r="G208" s="80"/>
    </row>
    <row r="209" spans="1:7">
      <c r="A209" t="s">
        <v>246</v>
      </c>
      <c r="B209" s="80"/>
      <c r="C209" s="80"/>
      <c r="D209" s="80"/>
      <c r="E209" s="80"/>
      <c r="F209" s="80"/>
      <c r="G209" s="80"/>
    </row>
    <row r="210" spans="1:7">
      <c r="A210" t="s">
        <v>247</v>
      </c>
      <c r="B210" s="80"/>
      <c r="C210" s="80"/>
      <c r="D210" s="80"/>
      <c r="E210" s="80"/>
      <c r="F210" s="80"/>
      <c r="G210" s="80"/>
    </row>
    <row r="211" spans="1:7">
      <c r="A211" t="s">
        <v>248</v>
      </c>
      <c r="B211" s="80"/>
      <c r="C211" s="80"/>
      <c r="D211" s="80"/>
      <c r="E211" s="80"/>
      <c r="F211" s="80"/>
      <c r="G211" s="80"/>
    </row>
    <row r="212" spans="1:7">
      <c r="A212" t="s">
        <v>249</v>
      </c>
      <c r="B212" s="80"/>
      <c r="C212" s="80"/>
      <c r="D212" s="80"/>
      <c r="E212" s="80"/>
      <c r="F212" s="80"/>
      <c r="G212" s="80"/>
    </row>
    <row r="213" spans="1:7">
      <c r="A213" t="s">
        <v>443</v>
      </c>
      <c r="B213" s="80"/>
      <c r="C213" s="80"/>
      <c r="D213" s="80"/>
      <c r="E213" s="80"/>
      <c r="F213" s="80"/>
      <c r="G213" s="80"/>
    </row>
    <row r="214" spans="1:7">
      <c r="A214" t="s">
        <v>444</v>
      </c>
      <c r="B214" s="80"/>
      <c r="C214" s="80"/>
      <c r="D214" s="80"/>
      <c r="E214" s="80"/>
      <c r="F214" s="80"/>
      <c r="G214" s="80"/>
    </row>
    <row r="215" spans="1:7">
      <c r="A215" t="s">
        <v>445</v>
      </c>
      <c r="B215" s="80"/>
      <c r="C215" s="80"/>
      <c r="D215" s="80"/>
      <c r="E215" s="80"/>
      <c r="F215" s="80"/>
      <c r="G215" s="80"/>
    </row>
    <row r="216" spans="1:7">
      <c r="A216" t="s">
        <v>446</v>
      </c>
      <c r="B216" s="80"/>
      <c r="C216" s="80"/>
      <c r="D216" s="80"/>
      <c r="E216" s="80"/>
      <c r="F216" s="80"/>
      <c r="G216" s="80"/>
    </row>
    <row r="217" spans="1:7">
      <c r="A217" t="s">
        <v>250</v>
      </c>
      <c r="B217" s="80"/>
      <c r="C217" s="80"/>
      <c r="D217" s="80"/>
      <c r="E217" s="80"/>
      <c r="F217" s="80"/>
      <c r="G217" s="80"/>
    </row>
    <row r="218" spans="1:7">
      <c r="A218" t="s">
        <v>251</v>
      </c>
      <c r="B218" s="80"/>
      <c r="C218" s="80"/>
      <c r="D218" s="80"/>
      <c r="E218" s="80"/>
      <c r="F218" s="80"/>
      <c r="G218" s="80"/>
    </row>
    <row r="219" spans="1:7">
      <c r="A219" t="s">
        <v>252</v>
      </c>
      <c r="B219" s="80"/>
      <c r="C219" s="80"/>
      <c r="D219" s="80"/>
      <c r="E219" s="80"/>
      <c r="F219" s="80"/>
      <c r="G219" s="80"/>
    </row>
    <row r="220" spans="1:7">
      <c r="A220" t="s">
        <v>253</v>
      </c>
      <c r="B220" s="80"/>
      <c r="C220" s="80"/>
      <c r="D220" s="80"/>
      <c r="E220" s="80"/>
      <c r="F220" s="80"/>
      <c r="G220" s="80"/>
    </row>
    <row r="221" spans="1:7">
      <c r="A221" t="s">
        <v>471</v>
      </c>
      <c r="B221" s="80"/>
      <c r="C221" s="80"/>
      <c r="D221" s="80"/>
      <c r="E221" s="80"/>
      <c r="F221" s="80"/>
      <c r="G221" s="80"/>
    </row>
    <row r="222" spans="1:7">
      <c r="A222" t="s">
        <v>472</v>
      </c>
      <c r="B222" s="80"/>
      <c r="C222" s="80"/>
      <c r="D222" s="80"/>
      <c r="E222" s="80"/>
      <c r="F222" s="80"/>
      <c r="G222" s="80"/>
    </row>
    <row r="223" spans="1:7">
      <c r="A223" t="s">
        <v>473</v>
      </c>
      <c r="B223" s="80"/>
      <c r="C223" s="80"/>
      <c r="D223" s="80"/>
      <c r="E223" s="80"/>
      <c r="F223" s="80"/>
      <c r="G223" s="80"/>
    </row>
    <row r="224" spans="1:7">
      <c r="A224" t="s">
        <v>474</v>
      </c>
      <c r="B224" s="80"/>
      <c r="C224" s="80"/>
      <c r="D224" s="80"/>
      <c r="E224" s="80"/>
      <c r="F224" s="80"/>
      <c r="G224" s="80"/>
    </row>
    <row r="225" spans="1:7">
      <c r="A225" t="s">
        <v>254</v>
      </c>
      <c r="B225" s="80"/>
      <c r="C225" s="80"/>
      <c r="D225" s="80"/>
      <c r="E225" s="80"/>
      <c r="F225" s="80"/>
      <c r="G225" s="80"/>
    </row>
    <row r="226" spans="1:7">
      <c r="A226" t="s">
        <v>255</v>
      </c>
      <c r="B226" s="80"/>
      <c r="C226" s="80"/>
      <c r="D226" s="80"/>
      <c r="E226" s="80"/>
      <c r="F226" s="80"/>
      <c r="G226" s="80"/>
    </row>
    <row r="227" spans="1:7">
      <c r="A227" t="s">
        <v>256</v>
      </c>
      <c r="B227" s="80"/>
      <c r="C227" s="80"/>
      <c r="D227" s="80"/>
      <c r="E227" s="80"/>
      <c r="F227" s="80"/>
      <c r="G227" s="80"/>
    </row>
    <row r="228" spans="1:7">
      <c r="A228" t="s">
        <v>257</v>
      </c>
      <c r="B228" s="80"/>
      <c r="C228" s="80"/>
      <c r="D228" s="80"/>
      <c r="E228" s="80"/>
      <c r="F228" s="80"/>
      <c r="G228" s="80"/>
    </row>
    <row r="229" spans="1:7">
      <c r="A229" t="s">
        <v>475</v>
      </c>
      <c r="B229" s="80"/>
      <c r="C229" s="80"/>
      <c r="D229" s="80"/>
      <c r="E229" s="80"/>
      <c r="F229" s="80"/>
      <c r="G229" s="80"/>
    </row>
    <row r="230" spans="1:7">
      <c r="A230" t="s">
        <v>476</v>
      </c>
      <c r="B230" s="80"/>
      <c r="C230" s="80"/>
      <c r="D230" s="80"/>
      <c r="E230" s="80"/>
      <c r="F230" s="80"/>
      <c r="G230" s="80"/>
    </row>
    <row r="231" spans="1:7">
      <c r="A231" t="s">
        <v>477</v>
      </c>
      <c r="B231" s="80"/>
      <c r="C231" s="80"/>
      <c r="D231" s="80"/>
      <c r="E231" s="80"/>
      <c r="F231" s="80"/>
      <c r="G231" s="80"/>
    </row>
    <row r="232" spans="1:7">
      <c r="A232" t="s">
        <v>478</v>
      </c>
      <c r="B232" s="80"/>
      <c r="C232" s="80"/>
      <c r="D232" s="80"/>
      <c r="E232" s="80"/>
      <c r="F232" s="80"/>
      <c r="G232" s="80"/>
    </row>
    <row r="233" spans="1:7">
      <c r="A233" t="s">
        <v>463</v>
      </c>
      <c r="B233" s="80"/>
      <c r="C233" s="80"/>
      <c r="D233" s="80"/>
      <c r="E233" s="80"/>
      <c r="F233" s="80"/>
      <c r="G233" s="80"/>
    </row>
    <row r="234" spans="1:7">
      <c r="A234" t="s">
        <v>464</v>
      </c>
      <c r="B234" s="80"/>
      <c r="C234" s="80"/>
      <c r="D234" s="80"/>
      <c r="E234" s="80"/>
      <c r="F234" s="80"/>
      <c r="G234" s="80"/>
    </row>
    <row r="235" spans="1:7">
      <c r="A235" t="s">
        <v>465</v>
      </c>
      <c r="B235" s="80"/>
      <c r="C235" s="80"/>
      <c r="D235" s="80"/>
      <c r="E235" s="80"/>
      <c r="F235" s="80"/>
      <c r="G235" s="80"/>
    </row>
    <row r="236" spans="1:7">
      <c r="A236" t="s">
        <v>466</v>
      </c>
      <c r="B236" s="80"/>
      <c r="C236" s="80"/>
      <c r="D236" s="80"/>
      <c r="E236" s="80"/>
      <c r="F236" s="80"/>
      <c r="G236" s="80"/>
    </row>
    <row r="237" spans="1:7">
      <c r="A237" t="s">
        <v>483</v>
      </c>
      <c r="B237" s="80"/>
      <c r="C237" s="80"/>
      <c r="D237" s="80"/>
      <c r="E237" s="80"/>
      <c r="F237" s="80"/>
      <c r="G237" s="80"/>
    </row>
    <row r="238" spans="1:7">
      <c r="A238" t="s">
        <v>484</v>
      </c>
      <c r="B238" s="80"/>
      <c r="C238" s="80"/>
      <c r="D238" s="80"/>
      <c r="E238" s="80"/>
      <c r="F238" s="80"/>
      <c r="G238" s="80"/>
    </row>
    <row r="239" spans="1:7">
      <c r="A239" t="s">
        <v>485</v>
      </c>
      <c r="B239" s="80"/>
      <c r="C239" s="80"/>
      <c r="D239" s="80"/>
      <c r="E239" s="80"/>
      <c r="F239" s="80"/>
      <c r="G239" s="80"/>
    </row>
    <row r="240" spans="1:7">
      <c r="A240" t="s">
        <v>486</v>
      </c>
      <c r="B240" s="80"/>
      <c r="C240" s="80"/>
      <c r="D240" s="80"/>
      <c r="E240" s="80"/>
      <c r="F240" s="80"/>
      <c r="G240" s="80"/>
    </row>
    <row r="241" spans="1:7">
      <c r="A241" t="s">
        <v>258</v>
      </c>
      <c r="B241" s="80"/>
      <c r="C241" s="80"/>
      <c r="D241" s="80"/>
      <c r="E241" s="80"/>
      <c r="F241" s="80"/>
      <c r="G241" s="80"/>
    </row>
    <row r="242" spans="1:7">
      <c r="A242" t="s">
        <v>259</v>
      </c>
      <c r="B242" s="80"/>
      <c r="C242" s="80"/>
      <c r="D242" s="80"/>
      <c r="E242" s="80"/>
      <c r="F242" s="80"/>
      <c r="G242" s="80"/>
    </row>
    <row r="243" spans="1:7">
      <c r="A243" t="s">
        <v>260</v>
      </c>
      <c r="B243" s="80"/>
      <c r="C243" s="80"/>
      <c r="D243" s="80"/>
      <c r="E243" s="80"/>
      <c r="F243" s="80"/>
      <c r="G243" s="80"/>
    </row>
    <row r="244" spans="1:7">
      <c r="A244" t="s">
        <v>261</v>
      </c>
      <c r="B244" s="80"/>
      <c r="C244" s="80"/>
      <c r="D244" s="80"/>
      <c r="E244" s="80"/>
      <c r="F244" s="80"/>
      <c r="G244" s="80"/>
    </row>
    <row r="245" spans="1:7">
      <c r="A245" t="s">
        <v>262</v>
      </c>
      <c r="B245" s="80"/>
      <c r="C245" s="80"/>
      <c r="D245" s="80"/>
      <c r="E245" s="80"/>
      <c r="F245" s="80"/>
      <c r="G245" s="80"/>
    </row>
    <row r="246" spans="1:7">
      <c r="A246" t="s">
        <v>263</v>
      </c>
      <c r="B246" s="80"/>
      <c r="C246" s="80"/>
      <c r="D246" s="80"/>
      <c r="E246" s="80"/>
      <c r="F246" s="80"/>
      <c r="G246" s="80"/>
    </row>
    <row r="247" spans="1:7">
      <c r="A247" t="s">
        <v>264</v>
      </c>
      <c r="B247" s="80"/>
      <c r="C247" s="80"/>
      <c r="D247" s="80"/>
      <c r="E247" s="80"/>
      <c r="F247" s="80"/>
      <c r="G247" s="80"/>
    </row>
    <row r="248" spans="1:7">
      <c r="A248" t="s">
        <v>265</v>
      </c>
      <c r="B248" s="80"/>
      <c r="C248" s="80"/>
      <c r="D248" s="80"/>
      <c r="E248" s="80"/>
      <c r="F248" s="80"/>
      <c r="G248" s="80"/>
    </row>
    <row r="249" spans="1:7">
      <c r="A249" t="s">
        <v>266</v>
      </c>
      <c r="B249" s="80"/>
      <c r="C249" s="80"/>
      <c r="D249" s="80"/>
      <c r="E249" s="80"/>
      <c r="F249" s="80"/>
      <c r="G249" s="80"/>
    </row>
    <row r="250" spans="1:7">
      <c r="A250" t="s">
        <v>267</v>
      </c>
      <c r="B250" s="80"/>
      <c r="C250" s="80"/>
      <c r="D250" s="80"/>
      <c r="E250" s="80"/>
      <c r="F250" s="80"/>
      <c r="G250" s="80"/>
    </row>
    <row r="251" spans="1:7">
      <c r="A251" t="s">
        <v>268</v>
      </c>
      <c r="B251" s="80"/>
      <c r="C251" s="80"/>
      <c r="D251" s="80"/>
      <c r="E251" s="80"/>
      <c r="F251" s="80"/>
      <c r="G251" s="80"/>
    </row>
    <row r="252" spans="1:7">
      <c r="A252" t="s">
        <v>269</v>
      </c>
      <c r="B252" s="80"/>
      <c r="C252" s="80"/>
      <c r="D252" s="80"/>
      <c r="E252" s="80"/>
      <c r="F252" s="80"/>
      <c r="G252" s="80"/>
    </row>
    <row r="253" spans="1:7">
      <c r="A253" t="s">
        <v>270</v>
      </c>
      <c r="B253" s="80"/>
      <c r="C253" s="80"/>
      <c r="D253" s="80"/>
      <c r="E253" s="80"/>
      <c r="F253" s="80"/>
      <c r="G253" s="80"/>
    </row>
    <row r="254" spans="1:7">
      <c r="A254" t="s">
        <v>271</v>
      </c>
      <c r="B254" s="80"/>
      <c r="C254" s="80"/>
      <c r="D254" s="80"/>
      <c r="E254" s="80"/>
      <c r="F254" s="80"/>
      <c r="G254" s="80"/>
    </row>
    <row r="255" spans="1:7">
      <c r="A255" t="s">
        <v>272</v>
      </c>
      <c r="B255" s="80"/>
      <c r="C255" s="80"/>
      <c r="D255" s="80"/>
      <c r="E255" s="80"/>
      <c r="F255" s="80"/>
      <c r="G255" s="80"/>
    </row>
    <row r="256" spans="1:7">
      <c r="A256" t="s">
        <v>273</v>
      </c>
      <c r="B256" s="80"/>
      <c r="C256" s="80"/>
      <c r="D256" s="80"/>
      <c r="E256" s="80"/>
      <c r="F256" s="80"/>
      <c r="G256" s="80"/>
    </row>
    <row r="257" spans="1:7">
      <c r="A257" t="s">
        <v>274</v>
      </c>
      <c r="B257" s="80"/>
      <c r="C257" s="80"/>
      <c r="D257" s="80"/>
      <c r="E257" s="80"/>
      <c r="F257" s="80"/>
      <c r="G257" s="80"/>
    </row>
    <row r="258" spans="1:7">
      <c r="A258" t="s">
        <v>275</v>
      </c>
      <c r="B258" s="80"/>
      <c r="C258" s="80"/>
      <c r="D258" s="80"/>
      <c r="E258" s="80"/>
      <c r="F258" s="80"/>
      <c r="G258" s="80"/>
    </row>
    <row r="259" spans="1:7">
      <c r="A259" t="s">
        <v>276</v>
      </c>
      <c r="B259" s="80"/>
      <c r="C259" s="80"/>
      <c r="D259" s="80"/>
      <c r="E259" s="80"/>
      <c r="F259" s="80"/>
      <c r="G259" s="80"/>
    </row>
    <row r="260" spans="1:7">
      <c r="A260" t="s">
        <v>277</v>
      </c>
      <c r="B260" s="80"/>
      <c r="C260" s="80"/>
      <c r="D260" s="80"/>
      <c r="E260" s="80"/>
      <c r="F260" s="80"/>
      <c r="G260" s="80"/>
    </row>
    <row r="261" spans="1:7">
      <c r="A261" t="s">
        <v>278</v>
      </c>
      <c r="B261" s="80"/>
      <c r="C261" s="80"/>
      <c r="D261" s="80"/>
      <c r="E261" s="80"/>
      <c r="F261" s="80"/>
      <c r="G261" s="80"/>
    </row>
    <row r="262" spans="1:7">
      <c r="A262" t="s">
        <v>279</v>
      </c>
      <c r="B262" s="80"/>
      <c r="C262" s="80"/>
      <c r="D262" s="80"/>
      <c r="E262" s="80"/>
      <c r="F262" s="80"/>
      <c r="G262" s="80"/>
    </row>
    <row r="263" spans="1:7">
      <c r="A263" t="s">
        <v>280</v>
      </c>
      <c r="B263" s="80"/>
      <c r="C263" s="80"/>
      <c r="D263" s="80"/>
      <c r="E263" s="80"/>
      <c r="F263" s="80"/>
      <c r="G263" s="80"/>
    </row>
    <row r="264" spans="1:7">
      <c r="A264" t="s">
        <v>281</v>
      </c>
      <c r="B264" s="80"/>
      <c r="C264" s="80"/>
      <c r="D264" s="80"/>
      <c r="E264" s="80"/>
      <c r="F264" s="80"/>
      <c r="G264" s="80"/>
    </row>
    <row r="265" spans="1:7">
      <c r="A265" t="s">
        <v>282</v>
      </c>
    </row>
    <row r="266" spans="1:7">
      <c r="A266" t="s">
        <v>283</v>
      </c>
    </row>
    <row r="267" spans="1:7">
      <c r="A267" t="s">
        <v>284</v>
      </c>
    </row>
    <row r="268" spans="1:7">
      <c r="A268" t="s">
        <v>285</v>
      </c>
    </row>
    <row r="269" spans="1:7">
      <c r="A269" t="s">
        <v>286</v>
      </c>
    </row>
    <row r="270" spans="1:7">
      <c r="A270" t="s">
        <v>287</v>
      </c>
    </row>
    <row r="271" spans="1:7">
      <c r="A271" t="s">
        <v>288</v>
      </c>
    </row>
    <row r="272" spans="1:7">
      <c r="A272" t="s">
        <v>289</v>
      </c>
    </row>
    <row r="273" spans="1:1">
      <c r="A273" t="s">
        <v>290</v>
      </c>
    </row>
    <row r="274" spans="1:1">
      <c r="A274" t="s">
        <v>291</v>
      </c>
    </row>
    <row r="275" spans="1:1">
      <c r="A275" t="s">
        <v>292</v>
      </c>
    </row>
    <row r="276" spans="1:1">
      <c r="A276" t="s">
        <v>293</v>
      </c>
    </row>
    <row r="277" spans="1:1">
      <c r="A277" t="s">
        <v>294</v>
      </c>
    </row>
    <row r="278" spans="1:1">
      <c r="A278" t="s">
        <v>295</v>
      </c>
    </row>
    <row r="279" spans="1:1">
      <c r="A279" t="s">
        <v>296</v>
      </c>
    </row>
    <row r="280" spans="1:1">
      <c r="A280" t="s">
        <v>297</v>
      </c>
    </row>
    <row r="281" spans="1:1">
      <c r="A281" t="s">
        <v>298</v>
      </c>
    </row>
    <row r="282" spans="1:1">
      <c r="A282" t="s">
        <v>299</v>
      </c>
    </row>
    <row r="283" spans="1:1">
      <c r="A283" t="s">
        <v>300</v>
      </c>
    </row>
    <row r="284" spans="1:1">
      <c r="A284" t="s">
        <v>301</v>
      </c>
    </row>
    <row r="285" spans="1:1">
      <c r="A285" t="s">
        <v>302</v>
      </c>
    </row>
    <row r="286" spans="1:1">
      <c r="A286" t="s">
        <v>303</v>
      </c>
    </row>
    <row r="287" spans="1:1">
      <c r="A287" t="s">
        <v>304</v>
      </c>
    </row>
    <row r="288" spans="1:1">
      <c r="A288" t="s">
        <v>305</v>
      </c>
    </row>
    <row r="289" spans="1:1">
      <c r="A289" t="s">
        <v>306</v>
      </c>
    </row>
    <row r="290" spans="1:1">
      <c r="A290" t="s">
        <v>307</v>
      </c>
    </row>
    <row r="291" spans="1:1">
      <c r="A291" t="s">
        <v>308</v>
      </c>
    </row>
    <row r="292" spans="1:1">
      <c r="A292" t="s">
        <v>309</v>
      </c>
    </row>
    <row r="293" spans="1:1">
      <c r="A293" t="s">
        <v>310</v>
      </c>
    </row>
    <row r="294" spans="1:1">
      <c r="A294" t="s">
        <v>311</v>
      </c>
    </row>
    <row r="295" spans="1:1">
      <c r="A295" t="s">
        <v>312</v>
      </c>
    </row>
    <row r="296" spans="1:1">
      <c r="A296" t="s">
        <v>313</v>
      </c>
    </row>
    <row r="297" spans="1:1">
      <c r="A297" t="s">
        <v>314</v>
      </c>
    </row>
    <row r="298" spans="1:1">
      <c r="A298" t="s">
        <v>315</v>
      </c>
    </row>
    <row r="299" spans="1:1">
      <c r="A299" t="s">
        <v>316</v>
      </c>
    </row>
    <row r="300" spans="1:1">
      <c r="A300" t="s">
        <v>317</v>
      </c>
    </row>
    <row r="301" spans="1:1">
      <c r="A301" t="s">
        <v>318</v>
      </c>
    </row>
    <row r="302" spans="1:1">
      <c r="A302" t="s">
        <v>319</v>
      </c>
    </row>
    <row r="303" spans="1:1">
      <c r="A303" t="s">
        <v>320</v>
      </c>
    </row>
    <row r="304" spans="1:1">
      <c r="A304" t="s">
        <v>321</v>
      </c>
    </row>
    <row r="305" spans="1:1">
      <c r="A305" t="s">
        <v>322</v>
      </c>
    </row>
    <row r="306" spans="1:1">
      <c r="A306" t="s">
        <v>323</v>
      </c>
    </row>
    <row r="307" spans="1:1">
      <c r="A307" t="s">
        <v>324</v>
      </c>
    </row>
    <row r="308" spans="1:1">
      <c r="A308" t="s">
        <v>325</v>
      </c>
    </row>
    <row r="309" spans="1:1">
      <c r="A309" t="s">
        <v>326</v>
      </c>
    </row>
    <row r="310" spans="1:1">
      <c r="A310" t="s">
        <v>327</v>
      </c>
    </row>
    <row r="311" spans="1:1">
      <c r="A311" t="s">
        <v>328</v>
      </c>
    </row>
    <row r="312" spans="1:1">
      <c r="A312" t="s">
        <v>329</v>
      </c>
    </row>
    <row r="313" spans="1:1">
      <c r="A313" t="s">
        <v>330</v>
      </c>
    </row>
    <row r="314" spans="1:1">
      <c r="A314" t="s">
        <v>331</v>
      </c>
    </row>
    <row r="315" spans="1:1">
      <c r="A315" t="s">
        <v>332</v>
      </c>
    </row>
    <row r="316" spans="1:1">
      <c r="A316" t="s">
        <v>333</v>
      </c>
    </row>
    <row r="317" spans="1:1">
      <c r="A317" t="s">
        <v>491</v>
      </c>
    </row>
    <row r="318" spans="1:1">
      <c r="A318" t="s">
        <v>492</v>
      </c>
    </row>
    <row r="319" spans="1:1">
      <c r="A319" t="s">
        <v>493</v>
      </c>
    </row>
    <row r="320" spans="1:1">
      <c r="A320" t="s">
        <v>494</v>
      </c>
    </row>
    <row r="321" spans="1:1">
      <c r="A321" t="s">
        <v>334</v>
      </c>
    </row>
    <row r="322" spans="1:1">
      <c r="A322" t="s">
        <v>335</v>
      </c>
    </row>
    <row r="323" spans="1:1">
      <c r="A323" t="s">
        <v>336</v>
      </c>
    </row>
    <row r="324" spans="1:1">
      <c r="A324" t="s">
        <v>337</v>
      </c>
    </row>
    <row r="325" spans="1:1">
      <c r="A325" t="s">
        <v>495</v>
      </c>
    </row>
    <row r="326" spans="1:1">
      <c r="A326" t="s">
        <v>496</v>
      </c>
    </row>
    <row r="327" spans="1:1">
      <c r="A327" t="s">
        <v>497</v>
      </c>
    </row>
    <row r="328" spans="1:1">
      <c r="A328" t="s">
        <v>498</v>
      </c>
    </row>
    <row r="329" spans="1:1">
      <c r="A329" t="s">
        <v>338</v>
      </c>
    </row>
    <row r="330" spans="1:1">
      <c r="A330" t="s">
        <v>339</v>
      </c>
    </row>
    <row r="331" spans="1:1">
      <c r="A331" t="s">
        <v>340</v>
      </c>
    </row>
    <row r="332" spans="1:1">
      <c r="A332" t="s">
        <v>341</v>
      </c>
    </row>
    <row r="333" spans="1:1">
      <c r="A333" t="s">
        <v>499</v>
      </c>
    </row>
    <row r="334" spans="1:1">
      <c r="A334" t="s">
        <v>500</v>
      </c>
    </row>
    <row r="335" spans="1:1">
      <c r="A335" t="s">
        <v>501</v>
      </c>
    </row>
    <row r="336" spans="1:1">
      <c r="A336" t="s">
        <v>341</v>
      </c>
    </row>
    <row r="337" spans="1:1">
      <c r="A337" t="s">
        <v>467</v>
      </c>
    </row>
    <row r="338" spans="1:1">
      <c r="A338" t="s">
        <v>468</v>
      </c>
    </row>
    <row r="339" spans="1:1">
      <c r="A339" t="s">
        <v>469</v>
      </c>
    </row>
    <row r="340" spans="1:1">
      <c r="A340" t="s">
        <v>470</v>
      </c>
    </row>
    <row r="341" spans="1:1">
      <c r="A341" t="s">
        <v>487</v>
      </c>
    </row>
    <row r="342" spans="1:1">
      <c r="A342" t="s">
        <v>488</v>
      </c>
    </row>
    <row r="343" spans="1:1">
      <c r="A343" t="s">
        <v>489</v>
      </c>
    </row>
    <row r="344" spans="1:1">
      <c r="A344" t="s">
        <v>490</v>
      </c>
    </row>
    <row r="345" spans="1:1">
      <c r="A345" t="s">
        <v>342</v>
      </c>
    </row>
    <row r="346" spans="1:1">
      <c r="A346" t="s">
        <v>343</v>
      </c>
    </row>
    <row r="347" spans="1:1">
      <c r="A347" t="s">
        <v>344</v>
      </c>
    </row>
    <row r="348" spans="1:1">
      <c r="A348" t="s">
        <v>345</v>
      </c>
    </row>
    <row r="349" spans="1:1">
      <c r="A349" t="s">
        <v>346</v>
      </c>
    </row>
    <row r="350" spans="1:1">
      <c r="A350" t="s">
        <v>347</v>
      </c>
    </row>
    <row r="351" spans="1:1">
      <c r="A351" t="s">
        <v>348</v>
      </c>
    </row>
    <row r="352" spans="1:1">
      <c r="A352" t="s">
        <v>349</v>
      </c>
    </row>
    <row r="353" spans="1:1">
      <c r="A353" t="s">
        <v>350</v>
      </c>
    </row>
    <row r="354" spans="1:1">
      <c r="A354" t="s">
        <v>351</v>
      </c>
    </row>
    <row r="355" spans="1:1">
      <c r="A355" t="s">
        <v>352</v>
      </c>
    </row>
    <row r="356" spans="1:1">
      <c r="A356" t="s">
        <v>353</v>
      </c>
    </row>
    <row r="357" spans="1:1">
      <c r="A357" t="s">
        <v>354</v>
      </c>
    </row>
    <row r="358" spans="1:1">
      <c r="A358" t="s">
        <v>355</v>
      </c>
    </row>
    <row r="359" spans="1:1">
      <c r="A359" t="s">
        <v>356</v>
      </c>
    </row>
    <row r="360" spans="1:1">
      <c r="A360" t="s">
        <v>357</v>
      </c>
    </row>
    <row r="361" spans="1:1">
      <c r="A361" t="s">
        <v>358</v>
      </c>
    </row>
    <row r="362" spans="1:1">
      <c r="A362" t="s">
        <v>359</v>
      </c>
    </row>
    <row r="363" spans="1:1">
      <c r="A363" t="s">
        <v>360</v>
      </c>
    </row>
    <row r="364" spans="1:1">
      <c r="A364" t="s">
        <v>361</v>
      </c>
    </row>
    <row r="365" spans="1:1">
      <c r="A365" t="s">
        <v>362</v>
      </c>
    </row>
    <row r="366" spans="1:1">
      <c r="A366" t="s">
        <v>363</v>
      </c>
    </row>
    <row r="367" spans="1:1">
      <c r="A367" t="s">
        <v>364</v>
      </c>
    </row>
    <row r="368" spans="1:1">
      <c r="A368" t="s">
        <v>365</v>
      </c>
    </row>
    <row r="369" spans="1:1">
      <c r="A369" t="s">
        <v>366</v>
      </c>
    </row>
    <row r="370" spans="1:1">
      <c r="A370" t="s">
        <v>367</v>
      </c>
    </row>
    <row r="371" spans="1:1">
      <c r="A371" t="s">
        <v>368</v>
      </c>
    </row>
    <row r="372" spans="1:1">
      <c r="A372" t="s">
        <v>369</v>
      </c>
    </row>
    <row r="373" spans="1:1">
      <c r="A373" t="s">
        <v>370</v>
      </c>
    </row>
    <row r="374" spans="1:1">
      <c r="A374" t="s">
        <v>371</v>
      </c>
    </row>
    <row r="375" spans="1:1">
      <c r="A375" t="s">
        <v>372</v>
      </c>
    </row>
    <row r="376" spans="1:1">
      <c r="A376" t="s">
        <v>373</v>
      </c>
    </row>
    <row r="377" spans="1:1">
      <c r="A377" t="s">
        <v>374</v>
      </c>
    </row>
    <row r="378" spans="1:1">
      <c r="A378" t="s">
        <v>375</v>
      </c>
    </row>
    <row r="379" spans="1:1">
      <c r="A379" t="s">
        <v>376</v>
      </c>
    </row>
    <row r="380" spans="1:1">
      <c r="A380" t="s">
        <v>377</v>
      </c>
    </row>
    <row r="381" spans="1:1">
      <c r="A381" t="s">
        <v>378</v>
      </c>
    </row>
    <row r="382" spans="1:1">
      <c r="A382" t="s">
        <v>379</v>
      </c>
    </row>
    <row r="383" spans="1:1">
      <c r="A383" t="s">
        <v>380</v>
      </c>
    </row>
    <row r="384" spans="1:1">
      <c r="A384" t="s">
        <v>381</v>
      </c>
    </row>
    <row r="385" spans="1:1">
      <c r="A385" t="s">
        <v>382</v>
      </c>
    </row>
    <row r="386" spans="1:1">
      <c r="A386" t="s">
        <v>383</v>
      </c>
    </row>
    <row r="387" spans="1:1">
      <c r="A387" t="s">
        <v>384</v>
      </c>
    </row>
    <row r="388" spans="1:1">
      <c r="A388" t="s">
        <v>385</v>
      </c>
    </row>
    <row r="389" spans="1:1">
      <c r="A389" t="s">
        <v>386</v>
      </c>
    </row>
    <row r="390" spans="1:1">
      <c r="A390" t="s">
        <v>387</v>
      </c>
    </row>
    <row r="391" spans="1:1">
      <c r="A391" t="s">
        <v>388</v>
      </c>
    </row>
    <row r="392" spans="1:1">
      <c r="A392" t="s">
        <v>389</v>
      </c>
    </row>
    <row r="393" spans="1:1">
      <c r="A393" t="s">
        <v>390</v>
      </c>
    </row>
    <row r="394" spans="1:1">
      <c r="A394" t="s">
        <v>391</v>
      </c>
    </row>
    <row r="395" spans="1:1">
      <c r="A395" t="s">
        <v>392</v>
      </c>
    </row>
    <row r="396" spans="1:1">
      <c r="A396" t="s">
        <v>393</v>
      </c>
    </row>
    <row r="397" spans="1:1">
      <c r="A397" t="s">
        <v>394</v>
      </c>
    </row>
    <row r="398" spans="1:1">
      <c r="A398" t="s">
        <v>395</v>
      </c>
    </row>
    <row r="399" spans="1:1">
      <c r="A399" t="s">
        <v>396</v>
      </c>
    </row>
    <row r="400" spans="1:1">
      <c r="A400" t="s">
        <v>397</v>
      </c>
    </row>
    <row r="401" spans="1:1">
      <c r="A401" t="s">
        <v>398</v>
      </c>
    </row>
    <row r="402" spans="1:1">
      <c r="A402" t="s">
        <v>399</v>
      </c>
    </row>
    <row r="403" spans="1:1">
      <c r="A403" t="s">
        <v>400</v>
      </c>
    </row>
    <row r="404" spans="1:1">
      <c r="A404" t="s">
        <v>401</v>
      </c>
    </row>
    <row r="405" spans="1:1">
      <c r="A405" t="s">
        <v>402</v>
      </c>
    </row>
    <row r="406" spans="1:1">
      <c r="A406" t="s">
        <v>403</v>
      </c>
    </row>
    <row r="407" spans="1:1">
      <c r="A407" t="s">
        <v>404</v>
      </c>
    </row>
    <row r="408" spans="1:1">
      <c r="A408" t="s">
        <v>405</v>
      </c>
    </row>
    <row r="409" spans="1:1">
      <c r="A409" t="s">
        <v>406</v>
      </c>
    </row>
    <row r="410" spans="1:1">
      <c r="A410" t="s">
        <v>407</v>
      </c>
    </row>
    <row r="411" spans="1:1">
      <c r="A411" t="s">
        <v>408</v>
      </c>
    </row>
    <row r="412" spans="1:1">
      <c r="A412" t="s">
        <v>409</v>
      </c>
    </row>
    <row r="413" spans="1:1">
      <c r="A413" t="s">
        <v>410</v>
      </c>
    </row>
    <row r="414" spans="1:1">
      <c r="A414" t="s">
        <v>411</v>
      </c>
    </row>
    <row r="415" spans="1:1">
      <c r="A415" t="s">
        <v>412</v>
      </c>
    </row>
    <row r="416" spans="1:1">
      <c r="A416" t="s">
        <v>413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16"/>
  <sheetViews>
    <sheetView workbookViewId="0">
      <selection activeCell="B1" sqref="B1"/>
    </sheetView>
  </sheetViews>
  <sheetFormatPr defaultColWidth="9" defaultRowHeight="15.75"/>
  <cols>
    <col min="1" max="1" width="57.625" customWidth="1"/>
  </cols>
  <sheetData>
    <row r="1" spans="1:1">
      <c r="A1" t="s">
        <v>78</v>
      </c>
    </row>
    <row r="2" spans="1:1">
      <c r="A2" t="s">
        <v>79</v>
      </c>
    </row>
    <row r="3" spans="1:1">
      <c r="A3" t="s">
        <v>80</v>
      </c>
    </row>
    <row r="4" spans="1:1">
      <c r="A4" t="s">
        <v>81</v>
      </c>
    </row>
    <row r="5" spans="1:1">
      <c r="A5" t="s">
        <v>423</v>
      </c>
    </row>
    <row r="6" spans="1:1">
      <c r="A6" t="s">
        <v>424</v>
      </c>
    </row>
    <row r="7" spans="1:1">
      <c r="A7" t="s">
        <v>425</v>
      </c>
    </row>
    <row r="8" spans="1:1">
      <c r="A8" t="s">
        <v>426</v>
      </c>
    </row>
    <row r="9" spans="1:1">
      <c r="A9" t="s">
        <v>82</v>
      </c>
    </row>
    <row r="10" spans="1:1">
      <c r="A10" t="s">
        <v>83</v>
      </c>
    </row>
    <row r="11" spans="1:1">
      <c r="A11" t="s">
        <v>84</v>
      </c>
    </row>
    <row r="12" spans="1:1">
      <c r="A12" t="s">
        <v>85</v>
      </c>
    </row>
    <row r="13" spans="1:1">
      <c r="A13" t="s">
        <v>427</v>
      </c>
    </row>
    <row r="14" spans="1:1">
      <c r="A14" t="s">
        <v>428</v>
      </c>
    </row>
    <row r="15" spans="1:1">
      <c r="A15" t="s">
        <v>429</v>
      </c>
    </row>
    <row r="16" spans="1:1">
      <c r="A16" t="s">
        <v>430</v>
      </c>
    </row>
    <row r="17" spans="1:1">
      <c r="A17" t="s">
        <v>86</v>
      </c>
    </row>
    <row r="18" spans="1:1">
      <c r="A18" t="s">
        <v>87</v>
      </c>
    </row>
    <row r="19" spans="1:1">
      <c r="A19" t="s">
        <v>88</v>
      </c>
    </row>
    <row r="20" spans="1:1">
      <c r="A20" t="s">
        <v>89</v>
      </c>
    </row>
    <row r="21" spans="1:1">
      <c r="A21" t="s">
        <v>431</v>
      </c>
    </row>
    <row r="22" spans="1:1">
      <c r="A22" t="s">
        <v>432</v>
      </c>
    </row>
    <row r="23" spans="1:1">
      <c r="A23" t="s">
        <v>433</v>
      </c>
    </row>
    <row r="24" spans="1:1">
      <c r="A24" t="s">
        <v>434</v>
      </c>
    </row>
    <row r="25" spans="1:1">
      <c r="A25" t="s">
        <v>435</v>
      </c>
    </row>
    <row r="26" spans="1:1">
      <c r="A26" t="s">
        <v>436</v>
      </c>
    </row>
    <row r="27" spans="1:1">
      <c r="A27" t="s">
        <v>437</v>
      </c>
    </row>
    <row r="28" spans="1:1">
      <c r="A28" t="s">
        <v>438</v>
      </c>
    </row>
    <row r="29" spans="1:1">
      <c r="A29" t="s">
        <v>439</v>
      </c>
    </row>
    <row r="30" spans="1:1">
      <c r="A30" t="s">
        <v>440</v>
      </c>
    </row>
    <row r="31" spans="1:1">
      <c r="A31" t="s">
        <v>441</v>
      </c>
    </row>
    <row r="32" spans="1:1">
      <c r="A32" t="s">
        <v>442</v>
      </c>
    </row>
    <row r="33" spans="1:1">
      <c r="A33" t="s">
        <v>90</v>
      </c>
    </row>
    <row r="34" spans="1:1">
      <c r="A34" t="s">
        <v>91</v>
      </c>
    </row>
    <row r="35" spans="1:1">
      <c r="A35" t="s">
        <v>92</v>
      </c>
    </row>
    <row r="36" spans="1:1">
      <c r="A36" t="s">
        <v>93</v>
      </c>
    </row>
    <row r="37" spans="1:1">
      <c r="A37" t="s">
        <v>94</v>
      </c>
    </row>
    <row r="38" spans="1:1">
      <c r="A38" t="s">
        <v>95</v>
      </c>
    </row>
    <row r="39" spans="1:1">
      <c r="A39" t="s">
        <v>96</v>
      </c>
    </row>
    <row r="40" spans="1:1">
      <c r="A40" t="s">
        <v>97</v>
      </c>
    </row>
    <row r="41" spans="1:1">
      <c r="A41" t="s">
        <v>98</v>
      </c>
    </row>
    <row r="42" spans="1:1">
      <c r="A42" t="s">
        <v>99</v>
      </c>
    </row>
    <row r="43" spans="1:1">
      <c r="A43" t="s">
        <v>100</v>
      </c>
    </row>
    <row r="44" spans="1:1">
      <c r="A44" t="s">
        <v>101</v>
      </c>
    </row>
    <row r="45" spans="1:1">
      <c r="A45" t="s">
        <v>102</v>
      </c>
    </row>
    <row r="46" spans="1:1">
      <c r="A46" t="s">
        <v>103</v>
      </c>
    </row>
    <row r="47" spans="1:1">
      <c r="A47" t="s">
        <v>104</v>
      </c>
    </row>
    <row r="48" spans="1:1">
      <c r="A48" t="s">
        <v>105</v>
      </c>
    </row>
    <row r="49" spans="1:1">
      <c r="A49" t="s">
        <v>106</v>
      </c>
    </row>
    <row r="50" spans="1:1">
      <c r="A50" t="s">
        <v>107</v>
      </c>
    </row>
    <row r="51" spans="1:1">
      <c r="A51" t="s">
        <v>108</v>
      </c>
    </row>
    <row r="52" spans="1:1">
      <c r="A52" t="s">
        <v>109</v>
      </c>
    </row>
    <row r="53" spans="1:1">
      <c r="A53" t="s">
        <v>110</v>
      </c>
    </row>
    <row r="54" spans="1:1">
      <c r="A54" t="s">
        <v>111</v>
      </c>
    </row>
    <row r="55" spans="1:1">
      <c r="A55" t="s">
        <v>112</v>
      </c>
    </row>
    <row r="56" spans="1:1">
      <c r="A56" t="s">
        <v>113</v>
      </c>
    </row>
    <row r="57" spans="1:1">
      <c r="A57" t="s">
        <v>114</v>
      </c>
    </row>
    <row r="58" spans="1:1">
      <c r="A58" t="s">
        <v>115</v>
      </c>
    </row>
    <row r="59" spans="1:1">
      <c r="A59" t="s">
        <v>116</v>
      </c>
    </row>
    <row r="60" spans="1:1">
      <c r="A60" t="s">
        <v>117</v>
      </c>
    </row>
    <row r="61" spans="1:1">
      <c r="A61" t="s">
        <v>118</v>
      </c>
    </row>
    <row r="62" spans="1:1">
      <c r="A62" t="s">
        <v>119</v>
      </c>
    </row>
    <row r="63" spans="1:1">
      <c r="A63" t="s">
        <v>120</v>
      </c>
    </row>
    <row r="64" spans="1:1">
      <c r="A64" t="s">
        <v>121</v>
      </c>
    </row>
    <row r="65" spans="1:1">
      <c r="A65" t="s">
        <v>122</v>
      </c>
    </row>
    <row r="66" spans="1:1">
      <c r="A66" t="s">
        <v>123</v>
      </c>
    </row>
    <row r="67" spans="1:1">
      <c r="A67" t="s">
        <v>124</v>
      </c>
    </row>
    <row r="68" spans="1:1">
      <c r="A68" t="s">
        <v>125</v>
      </c>
    </row>
    <row r="69" spans="1:1">
      <c r="A69" t="s">
        <v>126</v>
      </c>
    </row>
    <row r="70" spans="1:1">
      <c r="A70" t="s">
        <v>127</v>
      </c>
    </row>
    <row r="71" spans="1:1">
      <c r="A71" t="s">
        <v>128</v>
      </c>
    </row>
    <row r="72" spans="1:1">
      <c r="A72" t="s">
        <v>129</v>
      </c>
    </row>
    <row r="73" spans="1:1">
      <c r="A73" t="s">
        <v>130</v>
      </c>
    </row>
    <row r="74" spans="1:1">
      <c r="A74" t="s">
        <v>131</v>
      </c>
    </row>
    <row r="75" spans="1:1">
      <c r="A75" t="s">
        <v>132</v>
      </c>
    </row>
    <row r="76" spans="1:1">
      <c r="A76" t="s">
        <v>133</v>
      </c>
    </row>
    <row r="77" spans="1:1">
      <c r="A77" t="s">
        <v>134</v>
      </c>
    </row>
    <row r="78" spans="1:1">
      <c r="A78" t="s">
        <v>135</v>
      </c>
    </row>
    <row r="79" spans="1:1">
      <c r="A79" t="s">
        <v>136</v>
      </c>
    </row>
    <row r="80" spans="1:1">
      <c r="A80" t="s">
        <v>137</v>
      </c>
    </row>
    <row r="81" spans="1:1">
      <c r="A81" t="s">
        <v>138</v>
      </c>
    </row>
    <row r="82" spans="1:1">
      <c r="A82" t="s">
        <v>139</v>
      </c>
    </row>
    <row r="83" spans="1:1">
      <c r="A83" t="s">
        <v>140</v>
      </c>
    </row>
    <row r="84" spans="1:1">
      <c r="A84" t="s">
        <v>141</v>
      </c>
    </row>
    <row r="85" spans="1:1">
      <c r="A85" t="s">
        <v>142</v>
      </c>
    </row>
    <row r="86" spans="1:1">
      <c r="A86" t="s">
        <v>143</v>
      </c>
    </row>
    <row r="87" spans="1:1">
      <c r="A87" t="s">
        <v>144</v>
      </c>
    </row>
    <row r="88" spans="1:1">
      <c r="A88" t="s">
        <v>145</v>
      </c>
    </row>
    <row r="89" spans="1:1">
      <c r="A89" t="s">
        <v>146</v>
      </c>
    </row>
    <row r="90" spans="1:1">
      <c r="A90" t="s">
        <v>147</v>
      </c>
    </row>
    <row r="91" spans="1:1">
      <c r="A91" t="s">
        <v>148</v>
      </c>
    </row>
    <row r="92" spans="1:1">
      <c r="A92" t="s">
        <v>149</v>
      </c>
    </row>
    <row r="93" spans="1:1">
      <c r="A93" t="s">
        <v>150</v>
      </c>
    </row>
    <row r="94" spans="1:1">
      <c r="A94" t="s">
        <v>151</v>
      </c>
    </row>
    <row r="95" spans="1:1">
      <c r="A95" t="s">
        <v>152</v>
      </c>
    </row>
    <row r="96" spans="1:1">
      <c r="A96" t="s">
        <v>153</v>
      </c>
    </row>
    <row r="97" spans="1:1">
      <c r="A97" t="s">
        <v>154</v>
      </c>
    </row>
    <row r="98" spans="1:1">
      <c r="A98" t="s">
        <v>155</v>
      </c>
    </row>
    <row r="99" spans="1:1">
      <c r="A99" t="s">
        <v>156</v>
      </c>
    </row>
    <row r="100" spans="1:1">
      <c r="A100" t="s">
        <v>157</v>
      </c>
    </row>
    <row r="101" spans="1:1">
      <c r="A101" t="s">
        <v>158</v>
      </c>
    </row>
    <row r="102" spans="1:1">
      <c r="A102" t="s">
        <v>159</v>
      </c>
    </row>
    <row r="103" spans="1:1">
      <c r="A103" t="s">
        <v>160</v>
      </c>
    </row>
    <row r="104" spans="1:1">
      <c r="A104" t="s">
        <v>161</v>
      </c>
    </row>
    <row r="105" spans="1:1">
      <c r="A105" t="s">
        <v>162</v>
      </c>
    </row>
    <row r="106" spans="1:1">
      <c r="A106" t="s">
        <v>163</v>
      </c>
    </row>
    <row r="107" spans="1:1">
      <c r="A107" t="s">
        <v>164</v>
      </c>
    </row>
    <row r="108" spans="1:1">
      <c r="A108" t="s">
        <v>165</v>
      </c>
    </row>
    <row r="109" spans="1:1">
      <c r="A109" t="s">
        <v>455</v>
      </c>
    </row>
    <row r="110" spans="1:1">
      <c r="A110" t="s">
        <v>456</v>
      </c>
    </row>
    <row r="111" spans="1:1">
      <c r="A111" t="s">
        <v>457</v>
      </c>
    </row>
    <row r="112" spans="1:1">
      <c r="A112" t="s">
        <v>458</v>
      </c>
    </row>
    <row r="113" spans="1:1">
      <c r="A113" t="s">
        <v>166</v>
      </c>
    </row>
    <row r="114" spans="1:1">
      <c r="A114" t="s">
        <v>167</v>
      </c>
    </row>
    <row r="115" spans="1:1">
      <c r="A115" t="s">
        <v>168</v>
      </c>
    </row>
    <row r="116" spans="1:1">
      <c r="A116" t="s">
        <v>169</v>
      </c>
    </row>
    <row r="117" spans="1:1">
      <c r="A117" t="s">
        <v>447</v>
      </c>
    </row>
    <row r="118" spans="1:1">
      <c r="A118" t="s">
        <v>448</v>
      </c>
    </row>
    <row r="119" spans="1:1">
      <c r="A119" t="s">
        <v>449</v>
      </c>
    </row>
    <row r="120" spans="1:1">
      <c r="A120" t="s">
        <v>450</v>
      </c>
    </row>
    <row r="121" spans="1:1">
      <c r="A121" t="s">
        <v>170</v>
      </c>
    </row>
    <row r="122" spans="1:1">
      <c r="A122" t="s">
        <v>171</v>
      </c>
    </row>
    <row r="123" spans="1:1">
      <c r="A123" t="s">
        <v>172</v>
      </c>
    </row>
    <row r="124" spans="1:1">
      <c r="A124" t="s">
        <v>173</v>
      </c>
    </row>
    <row r="125" spans="1:1">
      <c r="A125" t="s">
        <v>451</v>
      </c>
    </row>
    <row r="126" spans="1:1">
      <c r="A126" t="s">
        <v>452</v>
      </c>
    </row>
    <row r="127" spans="1:1">
      <c r="A127" t="s">
        <v>453</v>
      </c>
    </row>
    <row r="128" spans="1:1">
      <c r="A128" t="s">
        <v>454</v>
      </c>
    </row>
    <row r="129" spans="1:1">
      <c r="A129" t="s">
        <v>459</v>
      </c>
    </row>
    <row r="130" spans="1:1">
      <c r="A130" t="s">
        <v>460</v>
      </c>
    </row>
    <row r="131" spans="1:1">
      <c r="A131" t="s">
        <v>461</v>
      </c>
    </row>
    <row r="132" spans="1:1">
      <c r="A132" t="s">
        <v>462</v>
      </c>
    </row>
    <row r="133" spans="1:1">
      <c r="A133" t="s">
        <v>479</v>
      </c>
    </row>
    <row r="134" spans="1:1">
      <c r="A134" t="s">
        <v>480</v>
      </c>
    </row>
    <row r="135" spans="1:1">
      <c r="A135" t="s">
        <v>481</v>
      </c>
    </row>
    <row r="136" spans="1:1">
      <c r="A136" t="s">
        <v>482</v>
      </c>
    </row>
    <row r="137" spans="1:1">
      <c r="A137" t="s">
        <v>174</v>
      </c>
    </row>
    <row r="138" spans="1:1">
      <c r="A138" t="s">
        <v>175</v>
      </c>
    </row>
    <row r="139" spans="1:1">
      <c r="A139" t="s">
        <v>176</v>
      </c>
    </row>
    <row r="140" spans="1:1">
      <c r="A140" t="s">
        <v>177</v>
      </c>
    </row>
    <row r="141" spans="1:1">
      <c r="A141" t="s">
        <v>178</v>
      </c>
    </row>
    <row r="142" spans="1:1">
      <c r="A142" t="s">
        <v>179</v>
      </c>
    </row>
    <row r="143" spans="1:1">
      <c r="A143" t="s">
        <v>180</v>
      </c>
    </row>
    <row r="144" spans="1:1">
      <c r="A144" t="s">
        <v>181</v>
      </c>
    </row>
    <row r="145" spans="1:1">
      <c r="A145" t="s">
        <v>182</v>
      </c>
    </row>
    <row r="146" spans="1:1">
      <c r="A146" t="s">
        <v>183</v>
      </c>
    </row>
    <row r="147" spans="1:1">
      <c r="A147" t="s">
        <v>184</v>
      </c>
    </row>
    <row r="148" spans="1:1">
      <c r="A148" t="s">
        <v>185</v>
      </c>
    </row>
    <row r="149" spans="1:1">
      <c r="A149" t="s">
        <v>186</v>
      </c>
    </row>
    <row r="150" spans="1:1">
      <c r="A150" t="s">
        <v>187</v>
      </c>
    </row>
    <row r="151" spans="1:1">
      <c r="A151" t="s">
        <v>188</v>
      </c>
    </row>
    <row r="152" spans="1:1">
      <c r="A152" t="s">
        <v>189</v>
      </c>
    </row>
    <row r="153" spans="1:1">
      <c r="A153" t="s">
        <v>190</v>
      </c>
    </row>
    <row r="154" spans="1:1">
      <c r="A154" t="s">
        <v>191</v>
      </c>
    </row>
    <row r="155" spans="1:1">
      <c r="A155" t="s">
        <v>192</v>
      </c>
    </row>
    <row r="156" spans="1:1">
      <c r="A156" t="s">
        <v>193</v>
      </c>
    </row>
    <row r="157" spans="1:1">
      <c r="A157" t="s">
        <v>194</v>
      </c>
    </row>
    <row r="158" spans="1:1">
      <c r="A158" t="s">
        <v>195</v>
      </c>
    </row>
    <row r="159" spans="1:1">
      <c r="A159" t="s">
        <v>196</v>
      </c>
    </row>
    <row r="160" spans="1:1">
      <c r="A160" t="s">
        <v>197</v>
      </c>
    </row>
    <row r="161" spans="1:1">
      <c r="A161" t="s">
        <v>198</v>
      </c>
    </row>
    <row r="162" spans="1:1">
      <c r="A162" t="s">
        <v>199</v>
      </c>
    </row>
    <row r="163" spans="1:1">
      <c r="A163" t="s">
        <v>200</v>
      </c>
    </row>
    <row r="164" spans="1:1">
      <c r="A164" t="s">
        <v>201</v>
      </c>
    </row>
    <row r="165" spans="1:1">
      <c r="A165" t="s">
        <v>202</v>
      </c>
    </row>
    <row r="166" spans="1:1">
      <c r="A166" t="s">
        <v>203</v>
      </c>
    </row>
    <row r="167" spans="1:1">
      <c r="A167" t="s">
        <v>204</v>
      </c>
    </row>
    <row r="168" spans="1:1">
      <c r="A168" t="s">
        <v>205</v>
      </c>
    </row>
    <row r="169" spans="1:1">
      <c r="A169" t="s">
        <v>206</v>
      </c>
    </row>
    <row r="170" spans="1:1">
      <c r="A170" t="s">
        <v>207</v>
      </c>
    </row>
    <row r="171" spans="1:1">
      <c r="A171" t="s">
        <v>208</v>
      </c>
    </row>
    <row r="172" spans="1:1">
      <c r="A172" t="s">
        <v>209</v>
      </c>
    </row>
    <row r="173" spans="1:1">
      <c r="A173" t="s">
        <v>210</v>
      </c>
    </row>
    <row r="174" spans="1:1">
      <c r="A174" t="s">
        <v>211</v>
      </c>
    </row>
    <row r="175" spans="1:1">
      <c r="A175" t="s">
        <v>212</v>
      </c>
    </row>
    <row r="176" spans="1:1">
      <c r="A176" t="s">
        <v>213</v>
      </c>
    </row>
    <row r="177" spans="1:7">
      <c r="A177" t="s">
        <v>214</v>
      </c>
      <c r="B177" s="80"/>
      <c r="C177" s="80"/>
      <c r="D177" s="80"/>
      <c r="E177" s="80"/>
      <c r="F177" s="80"/>
      <c r="G177" s="80"/>
    </row>
    <row r="178" spans="1:7">
      <c r="A178" t="s">
        <v>215</v>
      </c>
      <c r="B178" s="80"/>
      <c r="C178" s="80"/>
      <c r="D178" s="80"/>
      <c r="E178" s="80"/>
      <c r="F178" s="80"/>
      <c r="G178" s="80"/>
    </row>
    <row r="179" spans="1:7">
      <c r="A179" t="s">
        <v>216</v>
      </c>
      <c r="B179" s="80"/>
      <c r="C179" s="80"/>
      <c r="D179" s="80"/>
      <c r="E179" s="80"/>
      <c r="F179" s="80"/>
      <c r="G179" s="80"/>
    </row>
    <row r="180" spans="1:7">
      <c r="A180" t="s">
        <v>217</v>
      </c>
      <c r="B180" s="80"/>
      <c r="C180" s="80"/>
      <c r="D180" s="80"/>
      <c r="E180" s="80"/>
      <c r="F180" s="80"/>
      <c r="G180" s="80"/>
    </row>
    <row r="181" spans="1:7">
      <c r="A181" t="s">
        <v>218</v>
      </c>
      <c r="B181" s="80"/>
      <c r="C181" s="80"/>
      <c r="D181" s="80"/>
      <c r="E181" s="80"/>
      <c r="F181" s="80"/>
      <c r="G181" s="80"/>
    </row>
    <row r="182" spans="1:7">
      <c r="A182" t="s">
        <v>219</v>
      </c>
      <c r="B182" s="80"/>
      <c r="C182" s="80"/>
      <c r="D182" s="80"/>
      <c r="E182" s="80"/>
      <c r="F182" s="80"/>
      <c r="G182" s="80"/>
    </row>
    <row r="183" spans="1:7">
      <c r="A183" t="s">
        <v>220</v>
      </c>
      <c r="B183" s="80"/>
      <c r="C183" s="80"/>
      <c r="D183" s="80"/>
      <c r="E183" s="80"/>
      <c r="F183" s="80"/>
      <c r="G183" s="80"/>
    </row>
    <row r="184" spans="1:7">
      <c r="A184" t="s">
        <v>221</v>
      </c>
      <c r="B184" s="80"/>
      <c r="C184" s="80"/>
      <c r="D184" s="80"/>
      <c r="E184" s="80"/>
      <c r="F184" s="80"/>
      <c r="G184" s="80"/>
    </row>
    <row r="185" spans="1:7">
      <c r="A185" t="s">
        <v>222</v>
      </c>
      <c r="B185" s="80"/>
      <c r="C185" s="80"/>
      <c r="D185" s="80"/>
      <c r="E185" s="80"/>
      <c r="F185" s="80"/>
      <c r="G185" s="80"/>
    </row>
    <row r="186" spans="1:7">
      <c r="A186" t="s">
        <v>223</v>
      </c>
      <c r="B186" s="80"/>
      <c r="C186" s="80"/>
      <c r="D186" s="80"/>
      <c r="E186" s="80"/>
      <c r="F186" s="80"/>
      <c r="G186" s="80"/>
    </row>
    <row r="187" spans="1:7">
      <c r="A187" t="s">
        <v>224</v>
      </c>
      <c r="B187" s="80"/>
      <c r="C187" s="80"/>
      <c r="D187" s="80"/>
      <c r="E187" s="80"/>
      <c r="F187" s="80"/>
      <c r="G187" s="80"/>
    </row>
    <row r="188" spans="1:7">
      <c r="A188" t="s">
        <v>225</v>
      </c>
      <c r="B188" s="80"/>
      <c r="C188" s="80"/>
      <c r="D188" s="80"/>
      <c r="E188" s="80"/>
      <c r="F188" s="80"/>
      <c r="G188" s="80"/>
    </row>
    <row r="189" spans="1:7">
      <c r="A189" t="s">
        <v>226</v>
      </c>
      <c r="B189" s="80"/>
      <c r="C189" s="80"/>
      <c r="D189" s="80"/>
      <c r="E189" s="80"/>
      <c r="F189" s="80"/>
      <c r="G189" s="80"/>
    </row>
    <row r="190" spans="1:7">
      <c r="A190" t="s">
        <v>227</v>
      </c>
      <c r="B190" s="80"/>
      <c r="C190" s="80"/>
      <c r="D190" s="80"/>
      <c r="E190" s="80"/>
      <c r="F190" s="80"/>
      <c r="G190" s="80"/>
    </row>
    <row r="191" spans="1:7">
      <c r="A191" t="s">
        <v>228</v>
      </c>
      <c r="B191" s="80"/>
      <c r="C191" s="80"/>
      <c r="D191" s="80"/>
      <c r="E191" s="80"/>
      <c r="F191" s="80"/>
      <c r="G191" s="80"/>
    </row>
    <row r="192" spans="1:7">
      <c r="A192" t="s">
        <v>229</v>
      </c>
      <c r="B192" s="80"/>
      <c r="C192" s="80"/>
      <c r="D192" s="80"/>
      <c r="E192" s="80"/>
      <c r="F192" s="80"/>
      <c r="G192" s="80"/>
    </row>
    <row r="193" spans="1:7">
      <c r="A193" t="s">
        <v>230</v>
      </c>
      <c r="B193" s="80"/>
      <c r="C193" s="80"/>
      <c r="D193" s="80"/>
      <c r="E193" s="80"/>
      <c r="F193" s="80"/>
      <c r="G193" s="80"/>
    </row>
    <row r="194" spans="1:7">
      <c r="A194" t="s">
        <v>231</v>
      </c>
      <c r="B194" s="80"/>
      <c r="C194" s="80"/>
      <c r="D194" s="80"/>
      <c r="E194" s="80"/>
      <c r="F194" s="80"/>
      <c r="G194" s="80"/>
    </row>
    <row r="195" spans="1:7">
      <c r="A195" t="s">
        <v>232</v>
      </c>
      <c r="B195" s="80"/>
      <c r="C195" s="80"/>
      <c r="D195" s="80"/>
      <c r="E195" s="80"/>
      <c r="F195" s="80"/>
      <c r="G195" s="80"/>
    </row>
    <row r="196" spans="1:7">
      <c r="A196" t="s">
        <v>233</v>
      </c>
      <c r="B196" s="80"/>
      <c r="C196" s="80"/>
      <c r="D196" s="80"/>
      <c r="E196" s="80"/>
      <c r="F196" s="80"/>
      <c r="G196" s="80"/>
    </row>
    <row r="197" spans="1:7">
      <c r="A197" t="s">
        <v>234</v>
      </c>
      <c r="B197" s="80"/>
      <c r="C197" s="80"/>
      <c r="D197" s="80"/>
      <c r="E197" s="80"/>
      <c r="F197" s="80"/>
      <c r="G197" s="80"/>
    </row>
    <row r="198" spans="1:7">
      <c r="A198" t="s">
        <v>235</v>
      </c>
      <c r="B198" s="80"/>
      <c r="C198" s="80"/>
      <c r="D198" s="80"/>
      <c r="E198" s="80"/>
      <c r="F198" s="80"/>
      <c r="G198" s="80"/>
    </row>
    <row r="199" spans="1:7">
      <c r="A199" t="s">
        <v>236</v>
      </c>
      <c r="B199" s="80"/>
      <c r="C199" s="80"/>
      <c r="D199" s="80"/>
      <c r="E199" s="80"/>
      <c r="F199" s="80"/>
      <c r="G199" s="80"/>
    </row>
    <row r="200" spans="1:7">
      <c r="A200" t="s">
        <v>237</v>
      </c>
      <c r="B200" s="80"/>
      <c r="C200" s="80"/>
      <c r="D200" s="80"/>
      <c r="E200" s="80"/>
      <c r="F200" s="80"/>
      <c r="G200" s="80"/>
    </row>
    <row r="201" spans="1:7">
      <c r="A201" t="s">
        <v>238</v>
      </c>
      <c r="B201" s="80"/>
      <c r="C201" s="80"/>
      <c r="D201" s="80"/>
      <c r="E201" s="80"/>
      <c r="F201" s="80"/>
      <c r="G201" s="80"/>
    </row>
    <row r="202" spans="1:7">
      <c r="A202" t="s">
        <v>239</v>
      </c>
      <c r="B202" s="80"/>
      <c r="C202" s="80"/>
      <c r="D202" s="80"/>
      <c r="E202" s="80"/>
      <c r="F202" s="80"/>
      <c r="G202" s="80"/>
    </row>
    <row r="203" spans="1:7">
      <c r="A203" t="s">
        <v>240</v>
      </c>
      <c r="B203" s="80"/>
      <c r="C203" s="80"/>
      <c r="D203" s="80"/>
      <c r="E203" s="80"/>
      <c r="F203" s="80"/>
      <c r="G203" s="80"/>
    </row>
    <row r="204" spans="1:7">
      <c r="A204" t="s">
        <v>241</v>
      </c>
      <c r="B204" s="80"/>
      <c r="C204" s="80"/>
      <c r="D204" s="80"/>
      <c r="E204" s="80"/>
      <c r="F204" s="80"/>
      <c r="G204" s="80"/>
    </row>
    <row r="205" spans="1:7">
      <c r="A205" t="s">
        <v>242</v>
      </c>
      <c r="B205" s="80"/>
      <c r="C205" s="80"/>
      <c r="D205" s="80"/>
      <c r="E205" s="80"/>
      <c r="F205" s="80"/>
      <c r="G205" s="80"/>
    </row>
    <row r="206" spans="1:7">
      <c r="A206" t="s">
        <v>243</v>
      </c>
      <c r="B206" s="80"/>
      <c r="C206" s="80"/>
      <c r="D206" s="80"/>
      <c r="E206" s="80"/>
      <c r="F206" s="80"/>
      <c r="G206" s="80"/>
    </row>
    <row r="207" spans="1:7">
      <c r="A207" t="s">
        <v>244</v>
      </c>
      <c r="B207" s="80"/>
      <c r="C207" s="80"/>
      <c r="D207" s="80"/>
      <c r="E207" s="80"/>
      <c r="F207" s="80"/>
      <c r="G207" s="80"/>
    </row>
    <row r="208" spans="1:7">
      <c r="A208" t="s">
        <v>245</v>
      </c>
      <c r="B208" s="80"/>
      <c r="C208" s="80"/>
      <c r="D208" s="80"/>
      <c r="E208" s="80"/>
      <c r="F208" s="80"/>
      <c r="G208" s="80"/>
    </row>
    <row r="209" spans="1:7">
      <c r="A209" t="s">
        <v>246</v>
      </c>
      <c r="B209" s="80"/>
      <c r="C209" s="80"/>
      <c r="D209" s="80"/>
      <c r="E209" s="80"/>
      <c r="F209" s="80"/>
      <c r="G209" s="80"/>
    </row>
    <row r="210" spans="1:7">
      <c r="A210" t="s">
        <v>247</v>
      </c>
      <c r="B210" s="80"/>
      <c r="C210" s="80"/>
      <c r="D210" s="80"/>
      <c r="E210" s="80"/>
      <c r="F210" s="80"/>
      <c r="G210" s="80"/>
    </row>
    <row r="211" spans="1:7">
      <c r="A211" t="s">
        <v>248</v>
      </c>
      <c r="B211" s="80"/>
      <c r="C211" s="80"/>
      <c r="D211" s="80"/>
      <c r="E211" s="80"/>
      <c r="F211" s="80"/>
      <c r="G211" s="80"/>
    </row>
    <row r="212" spans="1:7">
      <c r="A212" t="s">
        <v>249</v>
      </c>
      <c r="B212" s="80"/>
      <c r="C212" s="80"/>
      <c r="D212" s="80"/>
      <c r="E212" s="80"/>
      <c r="F212" s="80"/>
      <c r="G212" s="80"/>
    </row>
    <row r="213" spans="1:7">
      <c r="A213" t="s">
        <v>443</v>
      </c>
      <c r="B213" s="80"/>
      <c r="C213" s="80"/>
      <c r="D213" s="80"/>
      <c r="E213" s="80"/>
      <c r="F213" s="80"/>
      <c r="G213" s="80"/>
    </row>
    <row r="214" spans="1:7">
      <c r="A214" t="s">
        <v>444</v>
      </c>
      <c r="B214" s="80"/>
      <c r="C214" s="80"/>
      <c r="D214" s="80"/>
      <c r="E214" s="80"/>
      <c r="F214" s="80"/>
      <c r="G214" s="80"/>
    </row>
    <row r="215" spans="1:7">
      <c r="A215" t="s">
        <v>445</v>
      </c>
      <c r="B215" s="80"/>
      <c r="C215" s="80"/>
      <c r="D215" s="80"/>
      <c r="E215" s="80"/>
      <c r="F215" s="80"/>
      <c r="G215" s="80"/>
    </row>
    <row r="216" spans="1:7">
      <c r="A216" t="s">
        <v>446</v>
      </c>
      <c r="B216" s="80"/>
      <c r="C216" s="80"/>
      <c r="D216" s="80"/>
      <c r="E216" s="80"/>
      <c r="F216" s="80"/>
      <c r="G216" s="80"/>
    </row>
    <row r="217" spans="1:7">
      <c r="A217" t="s">
        <v>250</v>
      </c>
      <c r="B217" s="80"/>
      <c r="C217" s="80"/>
      <c r="D217" s="80"/>
      <c r="E217" s="80"/>
      <c r="F217" s="80"/>
      <c r="G217" s="80"/>
    </row>
    <row r="218" spans="1:7">
      <c r="A218" t="s">
        <v>251</v>
      </c>
      <c r="B218" s="80"/>
      <c r="C218" s="80"/>
      <c r="D218" s="80"/>
      <c r="E218" s="80"/>
      <c r="F218" s="80"/>
      <c r="G218" s="80"/>
    </row>
    <row r="219" spans="1:7">
      <c r="A219" t="s">
        <v>252</v>
      </c>
      <c r="B219" s="80"/>
      <c r="C219" s="80"/>
      <c r="D219" s="80"/>
      <c r="E219" s="80"/>
      <c r="F219" s="80"/>
      <c r="G219" s="80"/>
    </row>
    <row r="220" spans="1:7">
      <c r="A220" t="s">
        <v>253</v>
      </c>
      <c r="B220" s="80"/>
      <c r="C220" s="80"/>
      <c r="D220" s="80"/>
      <c r="E220" s="80"/>
      <c r="F220" s="80"/>
      <c r="G220" s="80"/>
    </row>
    <row r="221" spans="1:7">
      <c r="A221" t="s">
        <v>471</v>
      </c>
      <c r="B221" s="80"/>
      <c r="C221" s="80"/>
      <c r="D221" s="80"/>
      <c r="E221" s="80"/>
      <c r="F221" s="80"/>
      <c r="G221" s="80"/>
    </row>
    <row r="222" spans="1:7">
      <c r="A222" t="s">
        <v>472</v>
      </c>
      <c r="B222" s="80"/>
      <c r="C222" s="80"/>
      <c r="D222" s="80"/>
      <c r="E222" s="80"/>
      <c r="F222" s="80"/>
      <c r="G222" s="80"/>
    </row>
    <row r="223" spans="1:7">
      <c r="A223" t="s">
        <v>473</v>
      </c>
      <c r="B223" s="80"/>
      <c r="C223" s="80"/>
      <c r="D223" s="80"/>
      <c r="E223" s="80"/>
      <c r="F223" s="80"/>
      <c r="G223" s="80"/>
    </row>
    <row r="224" spans="1:7">
      <c r="A224" t="s">
        <v>474</v>
      </c>
      <c r="B224" s="80"/>
      <c r="C224" s="80"/>
      <c r="D224" s="80"/>
      <c r="E224" s="80"/>
      <c r="F224" s="80"/>
      <c r="G224" s="80"/>
    </row>
    <row r="225" spans="1:7">
      <c r="A225" t="s">
        <v>254</v>
      </c>
      <c r="B225" s="80"/>
      <c r="C225" s="80"/>
      <c r="D225" s="80"/>
      <c r="E225" s="80"/>
      <c r="F225" s="80"/>
      <c r="G225" s="80"/>
    </row>
    <row r="226" spans="1:7">
      <c r="A226" t="s">
        <v>255</v>
      </c>
      <c r="B226" s="80"/>
      <c r="C226" s="80"/>
      <c r="D226" s="80"/>
      <c r="E226" s="80"/>
      <c r="F226" s="80"/>
      <c r="G226" s="80"/>
    </row>
    <row r="227" spans="1:7">
      <c r="A227" t="s">
        <v>256</v>
      </c>
      <c r="B227" s="80"/>
      <c r="C227" s="80"/>
      <c r="D227" s="80"/>
      <c r="E227" s="80"/>
      <c r="F227" s="80"/>
      <c r="G227" s="80"/>
    </row>
    <row r="228" spans="1:7">
      <c r="A228" t="s">
        <v>257</v>
      </c>
      <c r="B228" s="80"/>
      <c r="C228" s="80"/>
      <c r="D228" s="80"/>
      <c r="E228" s="80"/>
      <c r="F228" s="80"/>
      <c r="G228" s="80"/>
    </row>
    <row r="229" spans="1:7">
      <c r="A229" t="s">
        <v>475</v>
      </c>
      <c r="B229" s="80"/>
      <c r="C229" s="80"/>
      <c r="D229" s="80"/>
      <c r="E229" s="80"/>
      <c r="F229" s="80"/>
      <c r="G229" s="80"/>
    </row>
    <row r="230" spans="1:7">
      <c r="A230" t="s">
        <v>476</v>
      </c>
      <c r="B230" s="80"/>
      <c r="C230" s="80"/>
      <c r="D230" s="80"/>
      <c r="E230" s="80"/>
      <c r="F230" s="80"/>
      <c r="G230" s="80"/>
    </row>
    <row r="231" spans="1:7">
      <c r="A231" t="s">
        <v>477</v>
      </c>
      <c r="B231" s="80"/>
      <c r="C231" s="80"/>
      <c r="D231" s="80"/>
      <c r="E231" s="80"/>
      <c r="F231" s="80"/>
      <c r="G231" s="80"/>
    </row>
    <row r="232" spans="1:7">
      <c r="A232" t="s">
        <v>478</v>
      </c>
      <c r="B232" s="80"/>
      <c r="C232" s="80"/>
      <c r="D232" s="80"/>
      <c r="E232" s="80"/>
      <c r="F232" s="80"/>
      <c r="G232" s="80"/>
    </row>
    <row r="233" spans="1:7">
      <c r="A233" t="s">
        <v>463</v>
      </c>
      <c r="B233" s="80"/>
      <c r="C233" s="80"/>
      <c r="D233" s="80"/>
      <c r="E233" s="80"/>
      <c r="F233" s="80"/>
      <c r="G233" s="80"/>
    </row>
    <row r="234" spans="1:7">
      <c r="A234" t="s">
        <v>464</v>
      </c>
      <c r="B234" s="80"/>
      <c r="C234" s="80"/>
      <c r="D234" s="80"/>
      <c r="E234" s="80"/>
      <c r="F234" s="80"/>
      <c r="G234" s="80"/>
    </row>
    <row r="235" spans="1:7">
      <c r="A235" t="s">
        <v>465</v>
      </c>
      <c r="B235" s="80"/>
      <c r="C235" s="80"/>
      <c r="D235" s="80"/>
      <c r="E235" s="80"/>
      <c r="F235" s="80"/>
      <c r="G235" s="80"/>
    </row>
    <row r="236" spans="1:7">
      <c r="A236" t="s">
        <v>466</v>
      </c>
      <c r="B236" s="80"/>
      <c r="C236" s="80"/>
      <c r="D236" s="80"/>
      <c r="E236" s="80"/>
      <c r="F236" s="80"/>
      <c r="G236" s="80"/>
    </row>
    <row r="237" spans="1:7">
      <c r="A237" t="s">
        <v>483</v>
      </c>
      <c r="B237" s="80"/>
      <c r="C237" s="80"/>
      <c r="D237" s="80"/>
      <c r="E237" s="80"/>
      <c r="F237" s="80"/>
      <c r="G237" s="80"/>
    </row>
    <row r="238" spans="1:7">
      <c r="A238" t="s">
        <v>484</v>
      </c>
      <c r="B238" s="80"/>
      <c r="C238" s="80"/>
      <c r="D238" s="80"/>
      <c r="E238" s="80"/>
      <c r="F238" s="80"/>
      <c r="G238" s="80"/>
    </row>
    <row r="239" spans="1:7">
      <c r="A239" t="s">
        <v>485</v>
      </c>
      <c r="B239" s="80"/>
      <c r="C239" s="80"/>
      <c r="D239" s="80"/>
      <c r="E239" s="80"/>
      <c r="F239" s="80"/>
      <c r="G239" s="80"/>
    </row>
    <row r="240" spans="1:7">
      <c r="A240" t="s">
        <v>486</v>
      </c>
      <c r="B240" s="80"/>
      <c r="C240" s="80"/>
      <c r="D240" s="80"/>
      <c r="E240" s="80"/>
      <c r="F240" s="80"/>
      <c r="G240" s="80"/>
    </row>
    <row r="241" spans="1:7">
      <c r="A241" t="s">
        <v>258</v>
      </c>
      <c r="B241" s="80"/>
      <c r="C241" s="80"/>
      <c r="D241" s="80"/>
      <c r="E241" s="80"/>
      <c r="F241" s="80"/>
      <c r="G241" s="80"/>
    </row>
    <row r="242" spans="1:7">
      <c r="A242" t="s">
        <v>259</v>
      </c>
      <c r="B242" s="80"/>
      <c r="C242" s="80"/>
      <c r="D242" s="80"/>
      <c r="E242" s="80"/>
      <c r="F242" s="80"/>
      <c r="G242" s="80"/>
    </row>
    <row r="243" spans="1:7">
      <c r="A243" t="s">
        <v>260</v>
      </c>
      <c r="B243" s="80"/>
      <c r="C243" s="80"/>
      <c r="D243" s="80"/>
      <c r="E243" s="80"/>
      <c r="F243" s="80"/>
      <c r="G243" s="80"/>
    </row>
    <row r="244" spans="1:7">
      <c r="A244" t="s">
        <v>261</v>
      </c>
      <c r="B244" s="80"/>
      <c r="C244" s="80"/>
      <c r="D244" s="80"/>
      <c r="E244" s="80"/>
      <c r="F244" s="80"/>
      <c r="G244" s="80"/>
    </row>
    <row r="245" spans="1:7">
      <c r="A245" t="s">
        <v>262</v>
      </c>
      <c r="B245" s="80"/>
      <c r="C245" s="80"/>
      <c r="D245" s="80"/>
      <c r="E245" s="80"/>
      <c r="F245" s="80"/>
      <c r="G245" s="80"/>
    </row>
    <row r="246" spans="1:7">
      <c r="A246" t="s">
        <v>263</v>
      </c>
      <c r="B246" s="80"/>
      <c r="C246" s="80"/>
      <c r="D246" s="80"/>
      <c r="E246" s="80"/>
      <c r="F246" s="80"/>
      <c r="G246" s="80"/>
    </row>
    <row r="247" spans="1:7">
      <c r="A247" t="s">
        <v>264</v>
      </c>
      <c r="B247" s="80"/>
      <c r="C247" s="80"/>
      <c r="D247" s="80"/>
      <c r="E247" s="80"/>
      <c r="F247" s="80"/>
      <c r="G247" s="80"/>
    </row>
    <row r="248" spans="1:7">
      <c r="A248" t="s">
        <v>265</v>
      </c>
      <c r="B248" s="80"/>
      <c r="C248" s="80"/>
      <c r="D248" s="80"/>
      <c r="E248" s="80"/>
      <c r="F248" s="80"/>
      <c r="G248" s="80"/>
    </row>
    <row r="249" spans="1:7">
      <c r="A249" t="s">
        <v>266</v>
      </c>
      <c r="B249" s="80"/>
      <c r="C249" s="80"/>
      <c r="D249" s="80"/>
      <c r="E249" s="80"/>
      <c r="F249" s="80"/>
      <c r="G249" s="80"/>
    </row>
    <row r="250" spans="1:7">
      <c r="A250" t="s">
        <v>267</v>
      </c>
      <c r="B250" s="80"/>
      <c r="C250" s="80"/>
      <c r="D250" s="80"/>
      <c r="E250" s="80"/>
      <c r="F250" s="80"/>
      <c r="G250" s="80"/>
    </row>
    <row r="251" spans="1:7">
      <c r="A251" t="s">
        <v>268</v>
      </c>
      <c r="B251" s="80"/>
      <c r="C251" s="80"/>
      <c r="D251" s="80"/>
      <c r="E251" s="80"/>
      <c r="F251" s="80"/>
      <c r="G251" s="80"/>
    </row>
    <row r="252" spans="1:7">
      <c r="A252" t="s">
        <v>269</v>
      </c>
      <c r="B252" s="80"/>
      <c r="C252" s="80"/>
      <c r="D252" s="80"/>
      <c r="E252" s="80"/>
      <c r="F252" s="80"/>
      <c r="G252" s="80"/>
    </row>
    <row r="253" spans="1:7">
      <c r="A253" t="s">
        <v>270</v>
      </c>
      <c r="B253" s="80"/>
      <c r="C253" s="80"/>
      <c r="D253" s="80"/>
      <c r="E253" s="80"/>
      <c r="F253" s="80"/>
      <c r="G253" s="80"/>
    </row>
    <row r="254" spans="1:7">
      <c r="A254" t="s">
        <v>271</v>
      </c>
      <c r="B254" s="80"/>
      <c r="C254" s="80"/>
      <c r="D254" s="80"/>
      <c r="E254" s="80"/>
      <c r="F254" s="80"/>
      <c r="G254" s="80"/>
    </row>
    <row r="255" spans="1:7">
      <c r="A255" t="s">
        <v>272</v>
      </c>
      <c r="B255" s="80"/>
      <c r="C255" s="80"/>
      <c r="D255" s="80"/>
      <c r="E255" s="80"/>
      <c r="F255" s="80"/>
      <c r="G255" s="80"/>
    </row>
    <row r="256" spans="1:7">
      <c r="A256" t="s">
        <v>273</v>
      </c>
      <c r="B256" s="80"/>
      <c r="C256" s="80"/>
      <c r="D256" s="80"/>
      <c r="E256" s="80"/>
      <c r="F256" s="80"/>
      <c r="G256" s="80"/>
    </row>
    <row r="257" spans="1:7">
      <c r="A257" t="s">
        <v>274</v>
      </c>
      <c r="B257" s="80"/>
      <c r="C257" s="80"/>
      <c r="D257" s="80"/>
      <c r="E257" s="80"/>
      <c r="F257" s="80"/>
      <c r="G257" s="80"/>
    </row>
    <row r="258" spans="1:7">
      <c r="A258" t="s">
        <v>275</v>
      </c>
      <c r="B258" s="80"/>
      <c r="C258" s="80"/>
      <c r="D258" s="80"/>
      <c r="E258" s="80"/>
      <c r="F258" s="80"/>
      <c r="G258" s="80"/>
    </row>
    <row r="259" spans="1:7">
      <c r="A259" t="s">
        <v>276</v>
      </c>
      <c r="B259" s="80"/>
      <c r="C259" s="80"/>
      <c r="D259" s="80"/>
      <c r="E259" s="80"/>
      <c r="F259" s="80"/>
      <c r="G259" s="80"/>
    </row>
    <row r="260" spans="1:7">
      <c r="A260" t="s">
        <v>277</v>
      </c>
      <c r="B260" s="80"/>
      <c r="C260" s="80"/>
      <c r="D260" s="80"/>
      <c r="E260" s="80"/>
      <c r="F260" s="80"/>
      <c r="G260" s="80"/>
    </row>
    <row r="261" spans="1:7">
      <c r="A261" t="s">
        <v>278</v>
      </c>
      <c r="B261" s="80"/>
      <c r="C261" s="80"/>
      <c r="D261" s="80"/>
      <c r="E261" s="80"/>
      <c r="F261" s="80"/>
      <c r="G261" s="80"/>
    </row>
    <row r="262" spans="1:7">
      <c r="A262" t="s">
        <v>279</v>
      </c>
      <c r="B262" s="80"/>
      <c r="C262" s="80"/>
      <c r="D262" s="80"/>
      <c r="E262" s="80"/>
      <c r="F262" s="80"/>
      <c r="G262" s="80"/>
    </row>
    <row r="263" spans="1:7">
      <c r="A263" t="s">
        <v>280</v>
      </c>
      <c r="B263" s="80"/>
      <c r="C263" s="80"/>
      <c r="D263" s="80"/>
      <c r="E263" s="80"/>
      <c r="F263" s="80"/>
      <c r="G263" s="80"/>
    </row>
    <row r="264" spans="1:7">
      <c r="A264" t="s">
        <v>281</v>
      </c>
      <c r="B264" s="80"/>
      <c r="C264" s="80"/>
      <c r="D264" s="80"/>
      <c r="E264" s="80"/>
      <c r="F264" s="80"/>
      <c r="G264" s="80"/>
    </row>
    <row r="265" spans="1:7">
      <c r="A265" t="s">
        <v>282</v>
      </c>
    </row>
    <row r="266" spans="1:7">
      <c r="A266" t="s">
        <v>283</v>
      </c>
    </row>
    <row r="267" spans="1:7">
      <c r="A267" t="s">
        <v>284</v>
      </c>
    </row>
    <row r="268" spans="1:7">
      <c r="A268" t="s">
        <v>285</v>
      </c>
    </row>
    <row r="269" spans="1:7">
      <c r="A269" t="s">
        <v>286</v>
      </c>
    </row>
    <row r="270" spans="1:7">
      <c r="A270" t="s">
        <v>287</v>
      </c>
    </row>
    <row r="271" spans="1:7">
      <c r="A271" t="s">
        <v>288</v>
      </c>
    </row>
    <row r="272" spans="1:7">
      <c r="A272" t="s">
        <v>289</v>
      </c>
    </row>
    <row r="273" spans="1:1">
      <c r="A273" t="s">
        <v>290</v>
      </c>
    </row>
    <row r="274" spans="1:1">
      <c r="A274" t="s">
        <v>291</v>
      </c>
    </row>
    <row r="275" spans="1:1">
      <c r="A275" t="s">
        <v>292</v>
      </c>
    </row>
    <row r="276" spans="1:1">
      <c r="A276" t="s">
        <v>293</v>
      </c>
    </row>
    <row r="277" spans="1:1">
      <c r="A277" t="s">
        <v>294</v>
      </c>
    </row>
    <row r="278" spans="1:1">
      <c r="A278" t="s">
        <v>295</v>
      </c>
    </row>
    <row r="279" spans="1:1">
      <c r="A279" t="s">
        <v>296</v>
      </c>
    </row>
    <row r="280" spans="1:1">
      <c r="A280" t="s">
        <v>297</v>
      </c>
    </row>
    <row r="281" spans="1:1">
      <c r="A281" t="s">
        <v>298</v>
      </c>
    </row>
    <row r="282" spans="1:1">
      <c r="A282" t="s">
        <v>299</v>
      </c>
    </row>
    <row r="283" spans="1:1">
      <c r="A283" t="s">
        <v>300</v>
      </c>
    </row>
    <row r="284" spans="1:1">
      <c r="A284" t="s">
        <v>301</v>
      </c>
    </row>
    <row r="285" spans="1:1">
      <c r="A285" t="s">
        <v>302</v>
      </c>
    </row>
    <row r="286" spans="1:1">
      <c r="A286" t="s">
        <v>303</v>
      </c>
    </row>
    <row r="287" spans="1:1">
      <c r="A287" t="s">
        <v>304</v>
      </c>
    </row>
    <row r="288" spans="1:1">
      <c r="A288" t="s">
        <v>305</v>
      </c>
    </row>
    <row r="289" spans="1:1">
      <c r="A289" t="s">
        <v>306</v>
      </c>
    </row>
    <row r="290" spans="1:1">
      <c r="A290" t="s">
        <v>307</v>
      </c>
    </row>
    <row r="291" spans="1:1">
      <c r="A291" t="s">
        <v>308</v>
      </c>
    </row>
    <row r="292" spans="1:1">
      <c r="A292" t="s">
        <v>309</v>
      </c>
    </row>
    <row r="293" spans="1:1">
      <c r="A293" t="s">
        <v>310</v>
      </c>
    </row>
    <row r="294" spans="1:1">
      <c r="A294" t="s">
        <v>311</v>
      </c>
    </row>
    <row r="295" spans="1:1">
      <c r="A295" t="s">
        <v>312</v>
      </c>
    </row>
    <row r="296" spans="1:1">
      <c r="A296" t="s">
        <v>313</v>
      </c>
    </row>
    <row r="297" spans="1:1">
      <c r="A297" t="s">
        <v>314</v>
      </c>
    </row>
    <row r="298" spans="1:1">
      <c r="A298" t="s">
        <v>315</v>
      </c>
    </row>
    <row r="299" spans="1:1">
      <c r="A299" t="s">
        <v>316</v>
      </c>
    </row>
    <row r="300" spans="1:1">
      <c r="A300" t="s">
        <v>317</v>
      </c>
    </row>
    <row r="301" spans="1:1">
      <c r="A301" t="s">
        <v>318</v>
      </c>
    </row>
    <row r="302" spans="1:1">
      <c r="A302" t="s">
        <v>319</v>
      </c>
    </row>
    <row r="303" spans="1:1">
      <c r="A303" t="s">
        <v>320</v>
      </c>
    </row>
    <row r="304" spans="1:1">
      <c r="A304" t="s">
        <v>321</v>
      </c>
    </row>
    <row r="305" spans="1:1">
      <c r="A305" t="s">
        <v>322</v>
      </c>
    </row>
    <row r="306" spans="1:1">
      <c r="A306" t="s">
        <v>323</v>
      </c>
    </row>
    <row r="307" spans="1:1">
      <c r="A307" t="s">
        <v>324</v>
      </c>
    </row>
    <row r="308" spans="1:1">
      <c r="A308" t="s">
        <v>325</v>
      </c>
    </row>
    <row r="309" spans="1:1">
      <c r="A309" t="s">
        <v>326</v>
      </c>
    </row>
    <row r="310" spans="1:1">
      <c r="A310" t="s">
        <v>327</v>
      </c>
    </row>
    <row r="311" spans="1:1">
      <c r="A311" t="s">
        <v>328</v>
      </c>
    </row>
    <row r="312" spans="1:1">
      <c r="A312" t="s">
        <v>329</v>
      </c>
    </row>
    <row r="313" spans="1:1">
      <c r="A313" t="s">
        <v>330</v>
      </c>
    </row>
    <row r="314" spans="1:1">
      <c r="A314" t="s">
        <v>331</v>
      </c>
    </row>
    <row r="315" spans="1:1">
      <c r="A315" t="s">
        <v>332</v>
      </c>
    </row>
    <row r="316" spans="1:1">
      <c r="A316" t="s">
        <v>333</v>
      </c>
    </row>
    <row r="317" spans="1:1">
      <c r="A317" t="s">
        <v>491</v>
      </c>
    </row>
    <row r="318" spans="1:1">
      <c r="A318" t="s">
        <v>492</v>
      </c>
    </row>
    <row r="319" spans="1:1">
      <c r="A319" t="s">
        <v>493</v>
      </c>
    </row>
    <row r="320" spans="1:1">
      <c r="A320" t="s">
        <v>494</v>
      </c>
    </row>
    <row r="321" spans="1:1">
      <c r="A321" t="s">
        <v>334</v>
      </c>
    </row>
    <row r="322" spans="1:1">
      <c r="A322" t="s">
        <v>335</v>
      </c>
    </row>
    <row r="323" spans="1:1">
      <c r="A323" t="s">
        <v>336</v>
      </c>
    </row>
    <row r="324" spans="1:1">
      <c r="A324" t="s">
        <v>337</v>
      </c>
    </row>
    <row r="325" spans="1:1">
      <c r="A325" t="s">
        <v>495</v>
      </c>
    </row>
    <row r="326" spans="1:1">
      <c r="A326" t="s">
        <v>496</v>
      </c>
    </row>
    <row r="327" spans="1:1">
      <c r="A327" t="s">
        <v>497</v>
      </c>
    </row>
    <row r="328" spans="1:1">
      <c r="A328" t="s">
        <v>498</v>
      </c>
    </row>
    <row r="329" spans="1:1">
      <c r="A329" t="s">
        <v>338</v>
      </c>
    </row>
    <row r="330" spans="1:1">
      <c r="A330" t="s">
        <v>339</v>
      </c>
    </row>
    <row r="331" spans="1:1">
      <c r="A331" t="s">
        <v>340</v>
      </c>
    </row>
    <row r="332" spans="1:1">
      <c r="A332" t="s">
        <v>341</v>
      </c>
    </row>
    <row r="333" spans="1:1">
      <c r="A333" t="s">
        <v>499</v>
      </c>
    </row>
    <row r="334" spans="1:1">
      <c r="A334" t="s">
        <v>500</v>
      </c>
    </row>
    <row r="335" spans="1:1">
      <c r="A335" t="s">
        <v>501</v>
      </c>
    </row>
    <row r="336" spans="1:1">
      <c r="A336" t="s">
        <v>341</v>
      </c>
    </row>
    <row r="337" spans="1:1">
      <c r="A337" t="s">
        <v>467</v>
      </c>
    </row>
    <row r="338" spans="1:1">
      <c r="A338" t="s">
        <v>468</v>
      </c>
    </row>
    <row r="339" spans="1:1">
      <c r="A339" t="s">
        <v>469</v>
      </c>
    </row>
    <row r="340" spans="1:1">
      <c r="A340" t="s">
        <v>470</v>
      </c>
    </row>
    <row r="341" spans="1:1">
      <c r="A341" t="s">
        <v>487</v>
      </c>
    </row>
    <row r="342" spans="1:1">
      <c r="A342" t="s">
        <v>488</v>
      </c>
    </row>
    <row r="343" spans="1:1">
      <c r="A343" t="s">
        <v>489</v>
      </c>
    </row>
    <row r="344" spans="1:1">
      <c r="A344" t="s">
        <v>490</v>
      </c>
    </row>
    <row r="345" spans="1:1">
      <c r="A345" t="s">
        <v>342</v>
      </c>
    </row>
    <row r="346" spans="1:1">
      <c r="A346" t="s">
        <v>343</v>
      </c>
    </row>
    <row r="347" spans="1:1">
      <c r="A347" t="s">
        <v>344</v>
      </c>
    </row>
    <row r="348" spans="1:1">
      <c r="A348" t="s">
        <v>345</v>
      </c>
    </row>
    <row r="349" spans="1:1">
      <c r="A349" t="s">
        <v>346</v>
      </c>
    </row>
    <row r="350" spans="1:1">
      <c r="A350" t="s">
        <v>347</v>
      </c>
    </row>
    <row r="351" spans="1:1">
      <c r="A351" t="s">
        <v>348</v>
      </c>
    </row>
    <row r="352" spans="1:1">
      <c r="A352" t="s">
        <v>349</v>
      </c>
    </row>
    <row r="353" spans="1:1">
      <c r="A353" t="s">
        <v>350</v>
      </c>
    </row>
    <row r="354" spans="1:1">
      <c r="A354" t="s">
        <v>351</v>
      </c>
    </row>
    <row r="355" spans="1:1">
      <c r="A355" t="s">
        <v>352</v>
      </c>
    </row>
    <row r="356" spans="1:1">
      <c r="A356" t="s">
        <v>353</v>
      </c>
    </row>
    <row r="357" spans="1:1">
      <c r="A357" t="s">
        <v>354</v>
      </c>
    </row>
    <row r="358" spans="1:1">
      <c r="A358" t="s">
        <v>355</v>
      </c>
    </row>
    <row r="359" spans="1:1">
      <c r="A359" t="s">
        <v>356</v>
      </c>
    </row>
    <row r="360" spans="1:1">
      <c r="A360" t="s">
        <v>357</v>
      </c>
    </row>
    <row r="361" spans="1:1">
      <c r="A361" t="s">
        <v>358</v>
      </c>
    </row>
    <row r="362" spans="1:1">
      <c r="A362" t="s">
        <v>359</v>
      </c>
    </row>
    <row r="363" spans="1:1">
      <c r="A363" t="s">
        <v>360</v>
      </c>
    </row>
    <row r="364" spans="1:1">
      <c r="A364" t="s">
        <v>361</v>
      </c>
    </row>
    <row r="365" spans="1:1">
      <c r="A365" t="s">
        <v>362</v>
      </c>
    </row>
    <row r="366" spans="1:1">
      <c r="A366" t="s">
        <v>363</v>
      </c>
    </row>
    <row r="367" spans="1:1">
      <c r="A367" t="s">
        <v>364</v>
      </c>
    </row>
    <row r="368" spans="1:1">
      <c r="A368" t="s">
        <v>365</v>
      </c>
    </row>
    <row r="369" spans="1:1">
      <c r="A369" t="s">
        <v>366</v>
      </c>
    </row>
    <row r="370" spans="1:1">
      <c r="A370" t="s">
        <v>367</v>
      </c>
    </row>
    <row r="371" spans="1:1">
      <c r="A371" t="s">
        <v>368</v>
      </c>
    </row>
    <row r="372" spans="1:1">
      <c r="A372" t="s">
        <v>369</v>
      </c>
    </row>
    <row r="373" spans="1:1">
      <c r="A373" t="s">
        <v>370</v>
      </c>
    </row>
    <row r="374" spans="1:1">
      <c r="A374" t="s">
        <v>371</v>
      </c>
    </row>
    <row r="375" spans="1:1">
      <c r="A375" t="s">
        <v>372</v>
      </c>
    </row>
    <row r="376" spans="1:1">
      <c r="A376" t="s">
        <v>373</v>
      </c>
    </row>
    <row r="377" spans="1:1">
      <c r="A377" t="s">
        <v>374</v>
      </c>
    </row>
    <row r="378" spans="1:1">
      <c r="A378" t="s">
        <v>375</v>
      </c>
    </row>
    <row r="379" spans="1:1">
      <c r="A379" t="s">
        <v>376</v>
      </c>
    </row>
    <row r="380" spans="1:1">
      <c r="A380" t="s">
        <v>377</v>
      </c>
    </row>
    <row r="381" spans="1:1">
      <c r="A381" t="s">
        <v>378</v>
      </c>
    </row>
    <row r="382" spans="1:1">
      <c r="A382" t="s">
        <v>379</v>
      </c>
    </row>
    <row r="383" spans="1:1">
      <c r="A383" t="s">
        <v>380</v>
      </c>
    </row>
    <row r="384" spans="1:1">
      <c r="A384" t="s">
        <v>381</v>
      </c>
    </row>
    <row r="385" spans="1:1">
      <c r="A385" t="s">
        <v>382</v>
      </c>
    </row>
    <row r="386" spans="1:1">
      <c r="A386" t="s">
        <v>383</v>
      </c>
    </row>
    <row r="387" spans="1:1">
      <c r="A387" t="s">
        <v>384</v>
      </c>
    </row>
    <row r="388" spans="1:1">
      <c r="A388" t="s">
        <v>385</v>
      </c>
    </row>
    <row r="389" spans="1:1">
      <c r="A389" t="s">
        <v>386</v>
      </c>
    </row>
    <row r="390" spans="1:1">
      <c r="A390" t="s">
        <v>387</v>
      </c>
    </row>
    <row r="391" spans="1:1">
      <c r="A391" t="s">
        <v>388</v>
      </c>
    </row>
    <row r="392" spans="1:1">
      <c r="A392" t="s">
        <v>389</v>
      </c>
    </row>
    <row r="393" spans="1:1">
      <c r="A393" t="s">
        <v>390</v>
      </c>
    </row>
    <row r="394" spans="1:1">
      <c r="A394" t="s">
        <v>391</v>
      </c>
    </row>
    <row r="395" spans="1:1">
      <c r="A395" t="s">
        <v>392</v>
      </c>
    </row>
    <row r="396" spans="1:1">
      <c r="A396" t="s">
        <v>393</v>
      </c>
    </row>
    <row r="397" spans="1:1">
      <c r="A397" t="s">
        <v>394</v>
      </c>
    </row>
    <row r="398" spans="1:1">
      <c r="A398" t="s">
        <v>395</v>
      </c>
    </row>
    <row r="399" spans="1:1">
      <c r="A399" t="s">
        <v>396</v>
      </c>
    </row>
    <row r="400" spans="1:1">
      <c r="A400" t="s">
        <v>397</v>
      </c>
    </row>
    <row r="401" spans="1:1">
      <c r="A401" t="s">
        <v>398</v>
      </c>
    </row>
    <row r="402" spans="1:1">
      <c r="A402" t="s">
        <v>399</v>
      </c>
    </row>
    <row r="403" spans="1:1">
      <c r="A403" t="s">
        <v>400</v>
      </c>
    </row>
    <row r="404" spans="1:1">
      <c r="A404" t="s">
        <v>401</v>
      </c>
    </row>
    <row r="405" spans="1:1">
      <c r="A405" t="s">
        <v>402</v>
      </c>
    </row>
    <row r="406" spans="1:1">
      <c r="A406" t="s">
        <v>403</v>
      </c>
    </row>
    <row r="407" spans="1:1">
      <c r="A407" t="s">
        <v>404</v>
      </c>
    </row>
    <row r="408" spans="1:1">
      <c r="A408" t="s">
        <v>405</v>
      </c>
    </row>
    <row r="409" spans="1:1">
      <c r="A409" t="s">
        <v>406</v>
      </c>
    </row>
    <row r="410" spans="1:1">
      <c r="A410" t="s">
        <v>407</v>
      </c>
    </row>
    <row r="411" spans="1:1">
      <c r="A411" t="s">
        <v>408</v>
      </c>
    </row>
    <row r="412" spans="1:1">
      <c r="A412" t="s">
        <v>409</v>
      </c>
    </row>
    <row r="413" spans="1:1">
      <c r="A413" t="s">
        <v>410</v>
      </c>
    </row>
    <row r="414" spans="1:1">
      <c r="A414" t="s">
        <v>411</v>
      </c>
    </row>
    <row r="415" spans="1:1">
      <c r="A415" t="s">
        <v>412</v>
      </c>
    </row>
    <row r="416" spans="1:1">
      <c r="A416" t="s">
        <v>413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Plot</vt:lpstr>
      <vt:lpstr>AI-10</vt:lpstr>
      <vt:lpstr>AI-10 SIMD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Kui Fan</cp:lastModifiedBy>
  <dcterms:created xsi:type="dcterms:W3CDTF">2011-06-30T00:09:01Z</dcterms:created>
  <dcterms:modified xsi:type="dcterms:W3CDTF">2018-12-13T14:31:35Z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</Properties>
</file>